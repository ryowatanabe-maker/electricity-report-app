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2969\Desktop\"/>
    </mc:Choice>
  </mc:AlternateContent>
  <xr:revisionPtr revIDLastSave="0" documentId="13_ncr:1_{95A3D921-C548-4764-B5CC-683484F18904}" xr6:coauthVersionLast="47" xr6:coauthVersionMax="47" xr10:uidLastSave="{00000000-0000-0000-0000-000000000000}"/>
  <bookViews>
    <workbookView xWindow="28680" yWindow="-120" windowWidth="29040" windowHeight="15720" tabRatio="693" xr2:uid="{00000000-000D-0000-FFFF-FFFF00000000}"/>
  </bookViews>
  <sheets>
    <sheet name="まとめ" sheetId="1" r:id="rId1"/>
    <sheet name="Sheet1" sheetId="2" r:id="rId2"/>
  </sheets>
  <definedNames>
    <definedName name="_xlnm.Print_Area" localSheetId="1">Sheet1!$A$4:$K$59</definedName>
    <definedName name="_xlnm.Print_Area" localSheetId="0">まとめ!$A$1:$N$46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2" l="1"/>
  <c r="C8" i="1" s="1"/>
  <c r="C33" i="2"/>
  <c r="C7" i="1" s="1"/>
  <c r="K29" i="2"/>
  <c r="J29" i="2"/>
  <c r="I29" i="2"/>
  <c r="H29" i="2"/>
  <c r="G29" i="2"/>
  <c r="F29" i="2"/>
  <c r="E29" i="2"/>
  <c r="D29" i="2"/>
  <c r="C29" i="2"/>
  <c r="B29" i="2"/>
  <c r="K28" i="2"/>
  <c r="J28" i="2"/>
  <c r="I28" i="2"/>
  <c r="H28" i="2"/>
  <c r="G28" i="2"/>
  <c r="F28" i="2"/>
  <c r="E28" i="2"/>
  <c r="D28" i="2"/>
  <c r="C28" i="2"/>
  <c r="B28" i="2"/>
  <c r="C9" i="1" l="1"/>
  <c r="C10" i="1" s="1"/>
  <c r="C11" i="1" l="1"/>
</calcChain>
</file>

<file path=xl/sharedStrings.xml><?xml version="1.0" encoding="utf-8"?>
<sst xmlns="http://schemas.openxmlformats.org/spreadsheetml/2006/main" count="121" uniqueCount="84">
  <si>
    <t>100%予測値</t>
  </si>
  <si>
    <t>単位</t>
  </si>
  <si>
    <t>kWh</t>
  </si>
  <si>
    <t>00:00～01:00</t>
  </si>
  <si>
    <t>01:00～02:00</t>
  </si>
  <si>
    <t>02:00～03:00</t>
  </si>
  <si>
    <t>03:00～04:00</t>
  </si>
  <si>
    <t>04:00～05:00</t>
  </si>
  <si>
    <t>05:00～06:00</t>
  </si>
  <si>
    <t>06:00～07:00</t>
  </si>
  <si>
    <t>07:00～08:00</t>
  </si>
  <si>
    <t>08:00～09:00</t>
  </si>
  <si>
    <t>09:00～10:00</t>
  </si>
  <si>
    <t>10:00～11:00</t>
  </si>
  <si>
    <t>11:00～12:00</t>
  </si>
  <si>
    <t>12:00～13:00</t>
  </si>
  <si>
    <t>13:00～14:00</t>
  </si>
  <si>
    <t>14:00～15:00</t>
  </si>
  <si>
    <t>15:00～16:00</t>
  </si>
  <si>
    <t>16:00～17:00</t>
  </si>
  <si>
    <t>17:00～18:00</t>
  </si>
  <si>
    <t>18:00～19:00</t>
  </si>
  <si>
    <t>19:00～20:00</t>
  </si>
  <si>
    <t>20:00～21:00</t>
  </si>
  <si>
    <t>21:00～22:00</t>
  </si>
  <si>
    <t>22:00～23:00</t>
  </si>
  <si>
    <t>23:00～24:00</t>
  </si>
  <si>
    <t>合計</t>
  </si>
  <si>
    <t>営業時間帯</t>
  </si>
  <si>
    <t>営業時間外</t>
  </si>
  <si>
    <t>施工前</t>
  </si>
  <si>
    <t>施工後（調光後）</t>
  </si>
  <si>
    <t>時間帯別平均値</t>
  </si>
  <si>
    <t>時間帯</t>
  </si>
  <si>
    <t>1階2階合計</t>
  </si>
  <si>
    <t>施工前 平均kWh/h</t>
  </si>
  <si>
    <t>施工後 平均kWh/h</t>
  </si>
  <si>
    <t>01:00</t>
  </si>
  <si>
    <t>02:00</t>
  </si>
  <si>
    <t>03:00</t>
  </si>
  <si>
    <t>04:00</t>
  </si>
  <si>
    <t>05:00</t>
  </si>
  <si>
    <t>04::00～05;00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</si>
  <si>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</si>
  <si>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</si>
  <si>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</si>
  <si>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</si>
  <si>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</si>
  <si>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</si>
  <si>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</si>
  <si>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</si>
  <si>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</si>
  <si>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</si>
  <si>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</si>
  <si>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</si>
  <si>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</si>
  <si>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</si>
  <si>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</si>
  <si>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</si>
  <si>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</si>
  <si>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</si>
  <si>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</si>
  <si>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23:00～00:00　</t>
  </si>
  <si>
    <t>荏原中延店の使用電力比較報告書</t>
  </si>
  <si>
    <t>〇店内照明の使用電力量計測</t>
  </si>
  <si>
    <t>【使用電力量】</t>
  </si>
  <si>
    <t>項目</t>
  </si>
  <si>
    <t>使用電力量積算値（1日）</t>
  </si>
  <si>
    <t>＊測定期間</t>
  </si>
  <si>
    <t>施工前：2026/3/16～2026/3/20（5日間）</t>
  </si>
  <si>
    <t>ｋＷｈ</t>
  </si>
  <si>
    <t>施工後(調光後)：2026/3/27～2026/4/1（6日間）</t>
  </si>
  <si>
    <t>＊営業時間</t>
  </si>
  <si>
    <t>09:00-22:00</t>
  </si>
  <si>
    <t>使用電力比較（1日）</t>
  </si>
  <si>
    <t>＊測定箇所</t>
  </si>
  <si>
    <t>電灯盤：回路ブレーカ（店内照明）</t>
  </si>
  <si>
    <t>年間削減電力量</t>
  </si>
  <si>
    <t>年間削減電気代（単価23.0円想定）</t>
  </si>
  <si>
    <t>円</t>
  </si>
  <si>
    <t>＊測定機器</t>
  </si>
  <si>
    <t>【パナソニック製多回路エネルギーモニタ】による電力量積算値</t>
  </si>
  <si>
    <t>【ご注意】</t>
  </si>
  <si>
    <t>・測定器の測定誤差は、公称値で±２％となります。予め、ご了承下さいますようお願い致します。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</si>
</sst>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%"/>
    <numFmt numFmtId="177" formatCode="0.0_);[Red]\(0.0\)"/>
    <numFmt numFmtId="178" formatCode="0.00_);[Red]\(0.00\)"/>
    <numFmt numFmtId="179" formatCode="&quot;¥&quot;#,##0_);[Red]\(&quot;¥&quot;#,##0\)"/>
    <numFmt numFmtId="180" formatCode="0.0"/>
  </numFmts>
  <fonts count="14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sz val="10"/>
      <color indexed="12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9"/>
      <name val="ＭＳ Ｐゴシック"/>
      <family val="3"/>
      <charset val="128"/>
    </font>
    <font>
      <b/>
      <sz val="10"/>
      <color rgb="FF0070C0"/>
      <name val="ＭＳ Ｐゴシック"/>
      <family val="3"/>
      <charset val="128"/>
    </font>
    <font>
      <b/>
      <sz val="11"/>
      <color rgb="FF0070C0"/>
      <name val="ＭＳ Ｐゴシック"/>
      <family val="3"/>
      <charset val="128"/>
    </font>
    <font>
      <b/>
      <sz val="10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CC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9" fontId="3" fillId="0" borderId="0"/>
    <xf numFmtId="0" fontId="1" fillId="0" borderId="0">
      <alignment vertical="center"/>
    </xf>
    <xf numFmtId="0" fontId="1" fillId="6" borderId="9">
      <alignment vertical="center"/>
    </xf>
  </cellStyleXfs>
  <cellXfs count="69">
    <xf numFmtId="0" fontId="0" fillId="0" borderId="0" xfId="0"/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176" fontId="7" fillId="0" borderId="0" xfId="1" applyNumberFormat="1" applyFont="1" applyAlignment="1">
      <alignment horizontal="right"/>
    </xf>
    <xf numFmtId="0" fontId="2" fillId="0" borderId="0" xfId="0" applyFont="1"/>
    <xf numFmtId="177" fontId="3" fillId="0" borderId="0" xfId="0" applyNumberFormat="1" applyFont="1" applyAlignment="1">
      <alignment horizontal="center"/>
    </xf>
    <xf numFmtId="0" fontId="6" fillId="0" borderId="0" xfId="0" applyFont="1" applyAlignment="1">
      <alignment horizontal="center" vertical="center"/>
    </xf>
    <xf numFmtId="178" fontId="3" fillId="0" borderId="0" xfId="0" applyNumberFormat="1" applyFont="1" applyAlignment="1">
      <alignment horizontal="center"/>
    </xf>
    <xf numFmtId="178" fontId="3" fillId="0" borderId="0" xfId="0" applyNumberFormat="1" applyFont="1" applyAlignment="1" applyProtection="1">
      <alignment horizontal="center"/>
      <protection hidden="1"/>
    </xf>
    <xf numFmtId="178" fontId="3" fillId="0" borderId="0" xfId="0" applyNumberFormat="1" applyFont="1" applyAlignment="1">
      <alignment vertical="center"/>
    </xf>
    <xf numFmtId="178" fontId="3" fillId="0" borderId="0" xfId="0" applyNumberFormat="1" applyFont="1"/>
    <xf numFmtId="0" fontId="6" fillId="0" borderId="0" xfId="0" applyFont="1" applyAlignment="1">
      <alignment horizontal="left" vertical="center"/>
    </xf>
    <xf numFmtId="177" fontId="3" fillId="0" borderId="0" xfId="0" applyNumberFormat="1" applyFont="1"/>
    <xf numFmtId="178" fontId="3" fillId="2" borderId="0" xfId="0" applyNumberFormat="1" applyFont="1" applyFill="1" applyAlignment="1" applyProtection="1">
      <alignment horizontal="center"/>
      <protection hidden="1"/>
    </xf>
    <xf numFmtId="0" fontId="0" fillId="3" borderId="0" xfId="0" applyFill="1"/>
    <xf numFmtId="56" fontId="0" fillId="0" borderId="0" xfId="0" applyNumberFormat="1"/>
    <xf numFmtId="56" fontId="0" fillId="0" borderId="0" xfId="0" applyNumberFormat="1" applyAlignment="1">
      <alignment horizontal="center" vertical="center"/>
    </xf>
    <xf numFmtId="0" fontId="3" fillId="0" borderId="0" xfId="0" applyFont="1"/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56" fontId="0" fillId="0" borderId="3" xfId="0" applyNumberFormat="1" applyBorder="1"/>
    <xf numFmtId="177" fontId="3" fillId="0" borderId="3" xfId="0" applyNumberFormat="1" applyFont="1" applyBorder="1"/>
    <xf numFmtId="0" fontId="8" fillId="0" borderId="4" xfId="0" applyFont="1" applyBorder="1" applyAlignment="1">
      <alignment horizontal="center" vertical="center" shrinkToFit="1"/>
    </xf>
    <xf numFmtId="0" fontId="6" fillId="0" borderId="5" xfId="0" applyFont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177" fontId="3" fillId="5" borderId="0" xfId="0" applyNumberFormat="1" applyFont="1" applyFill="1" applyAlignment="1">
      <alignment horizontal="center"/>
    </xf>
    <xf numFmtId="2" fontId="3" fillId="5" borderId="0" xfId="0" applyNumberFormat="1" applyFont="1" applyFill="1" applyAlignment="1">
      <alignment horizontal="center"/>
    </xf>
    <xf numFmtId="2" fontId="0" fillId="0" borderId="0" xfId="0" applyNumberFormat="1"/>
    <xf numFmtId="2" fontId="0" fillId="5" borderId="0" xfId="0" applyNumberFormat="1" applyFill="1"/>
    <xf numFmtId="2" fontId="0" fillId="0" borderId="0" xfId="0" applyNumberFormat="1" applyAlignment="1">
      <alignment horizontal="center" vertical="center"/>
    </xf>
    <xf numFmtId="56" fontId="10" fillId="0" borderId="3" xfId="0" applyNumberFormat="1" applyFont="1" applyBorder="1"/>
    <xf numFmtId="0" fontId="0" fillId="0" borderId="0" xfId="0" applyAlignment="1">
      <alignment vertical="center"/>
    </xf>
    <xf numFmtId="178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178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shrinkToFit="1"/>
    </xf>
    <xf numFmtId="0" fontId="2" fillId="0" borderId="11" xfId="0" applyFont="1" applyBorder="1" applyAlignment="1">
      <alignment horizontal="center" vertical="center"/>
    </xf>
    <xf numFmtId="177" fontId="9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179" fontId="12" fillId="0" borderId="4" xfId="0" applyNumberFormat="1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177" fontId="9" fillId="0" borderId="1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9" fontId="8" fillId="0" borderId="6" xfId="0" applyNumberFormat="1" applyFont="1" applyBorder="1" applyAlignment="1">
      <alignment horizontal="center" vertical="center" shrinkToFit="1"/>
    </xf>
    <xf numFmtId="177" fontId="0" fillId="0" borderId="0" xfId="0" applyNumberFormat="1"/>
    <xf numFmtId="180" fontId="9" fillId="0" borderId="4" xfId="0" applyNumberFormat="1" applyFont="1" applyBorder="1" applyAlignment="1">
      <alignment horizontal="center" vertical="center"/>
    </xf>
    <xf numFmtId="177" fontId="0" fillId="0" borderId="0" xfId="0" applyNumberFormat="1" applyAlignment="1">
      <alignment horizontal="center"/>
    </xf>
    <xf numFmtId="0" fontId="5" fillId="4" borderId="10" xfId="0" applyFont="1" applyFill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6" fillId="0" borderId="10" xfId="0" applyFont="1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6" fillId="0" borderId="0" xfId="0" applyFont="1" applyAlignment="1">
      <alignment horizontal="left" vertical="center"/>
    </xf>
    <xf numFmtId="0" fontId="0" fillId="0" borderId="0" xfId="0"/>
    <xf numFmtId="0" fontId="2" fillId="0" borderId="10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6" fillId="0" borderId="11" xfId="0" applyFont="1" applyBorder="1" applyAlignment="1">
      <alignment horizontal="center" vertical="center" shrinkToFit="1"/>
    </xf>
    <xf numFmtId="0" fontId="0" fillId="0" borderId="5" xfId="0" applyBorder="1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15" xfId="0" applyBorder="1"/>
    <xf numFmtId="0" fontId="0" fillId="0" borderId="3" xfId="0" applyBorder="1"/>
    <xf numFmtId="178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center"/>
    </xf>
  </cellXfs>
  <cellStyles count="4">
    <cellStyle name="パーセント" xfId="1" builtinId="5"/>
    <cellStyle name="メモ 2" xfId="3" xr:uid="{00000000-0005-0000-0000-000003000000}"/>
    <cellStyle name="標準" xfId="0" builtinId="0"/>
    <cellStyle name="標準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ea"/>
                <a:ea typeface="+mn-ea"/>
                <a:cs typeface="+mn-cs"/>
              </a:defRPr>
            </a:pPr>
            <a:r>
              <a:rPr lang="en-US" altLang="ja-JP">
                <a:latin typeface="+mn-ea"/>
                <a:ea typeface="+mn-ea"/>
              </a:rPr>
              <a:t>【</a:t>
            </a:r>
            <a:r>
              <a:rPr lang="ja-JP" altLang="en-US">
                <a:latin typeface="+mn-ea"/>
                <a:ea typeface="+mn-ea"/>
              </a:rPr>
              <a:t>時間帯別平均電力量</a:t>
            </a:r>
            <a:r>
              <a:rPr lang="en-US" altLang="ja-JP">
                <a:latin typeface="+mn-ea"/>
                <a:ea typeface="+mn-ea"/>
              </a:rPr>
              <a:t>】</a:t>
            </a:r>
            <a:endParaRPr lang="ja-JP" altLang="en-US">
              <a:latin typeface="+mn-ea"/>
              <a:ea typeface="+mn-ea"/>
            </a:endParaRP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7.9560816486202321E-2"/>
          <c:y val="8.7491553749103779E-2"/>
          <c:w val="0.90573964704489529"/>
          <c:h val="0.68027342641832544"/>
        </c:manualLayout>
      </c:layout>
      <c:lineChart>
        <c:grouping val="standard"/>
        <c:varyColors val="0"/>
        <c:ser>
          <c:idx val="0"/>
          <c:order val="0"/>
          <c:tx>
            <c:strRef>
              <c:f>Sheet1!$C$35</c:f>
              <c:strCache>
                <c:ptCount val="1"/>
                <c:pt idx="0">
                  <c:v>施工前 平均kWh/h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Sheet1!$B$36:$B$59</c:f>
              <c:strCache>
                <c:ptCount val="24"/>
                <c:pt idx="0">
                  <c:v>00:00～01:00</c:v>
                </c:pt>
                <c:pt idx="1">
                  <c:v>01:00～02:00</c:v>
                </c:pt>
                <c:pt idx="2">
                  <c:v>02:00～03:00</c:v>
                </c:pt>
                <c:pt idx="3">
                  <c:v>03:00～04:00</c:v>
                </c:pt>
                <c:pt idx="4">
                  <c:v>04::00～05;00</c:v>
                </c:pt>
                <c:pt idx="5">
                  <c:v>05:00～06:00</c:v>
                </c:pt>
                <c:pt idx="6">
                  <c:v>06:00～07:00</c:v>
                </c:pt>
                <c:pt idx="7">
                  <c:v>07:00～08:00</c:v>
                </c:pt>
                <c:pt idx="8">
                  <c:v>08:00～09:00</c:v>
                </c:pt>
                <c:pt idx="9">
                  <c:v>09:00～10:00</c:v>
                </c:pt>
                <c:pt idx="10">
                  <c:v>10:00～11:00</c:v>
                </c:pt>
                <c:pt idx="11">
                  <c:v>11:00～12:00</c:v>
                </c:pt>
                <c:pt idx="12">
                  <c:v>12:00～13:00</c:v>
                </c:pt>
                <c:pt idx="13">
                  <c:v>13:00～14:00</c:v>
                </c:pt>
                <c:pt idx="14">
                  <c:v>14:00～15:00</c:v>
                </c:pt>
                <c:pt idx="15">
                  <c:v>15:00～16:00</c:v>
                </c:pt>
                <c:pt idx="16">
                  <c:v>16:00～17:00</c:v>
                </c:pt>
                <c:pt idx="17">
                  <c:v>17:00～18:00</c:v>
                </c:pt>
                <c:pt idx="18">
                  <c:v>18:00～19:00</c:v>
                </c:pt>
                <c:pt idx="19">
                  <c:v>19:00～20:00</c:v>
                </c:pt>
                <c:pt idx="20">
                  <c:v>20:00～21:00</c:v>
                </c:pt>
                <c:pt idx="21">
                  <c:v>21:00～22:00</c:v>
                </c:pt>
                <c:pt idx="22">
                  <c:v>22:00～23:00</c:v>
                </c:pt>
                <c:pt idx="23">
                  <c:v>23:00～00:00　</c:v>
                </c:pt>
              </c:strCache>
            </c:strRef>
          </c:cat>
          <c:val>
            <c:numRef>
              <c:f>Sheet1!$C$36:$C$59</c:f>
              <c:numCache>
                <c:formatCode>General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A3-4C54-9148-3F2A0537B36F}"/>
            </c:ext>
          </c:extLst>
        </c:ser>
        <c:ser>
          <c:idx val="1"/>
          <c:order val="1"/>
          <c:tx>
            <c:strRef>
              <c:f>Sheet1!$D$35</c:f>
              <c:strCache>
                <c:ptCount val="1"/>
                <c:pt idx="0">
                  <c:v>施工後 平均kWh/h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Sheet1!$B$36:$B$59</c:f>
              <c:strCache>
                <c:ptCount val="24"/>
                <c:pt idx="0">
                  <c:v>00:00～01:00</c:v>
                </c:pt>
                <c:pt idx="1">
                  <c:v>01:00～02:00</c:v>
                </c:pt>
                <c:pt idx="2">
                  <c:v>02:00～03:00</c:v>
                </c:pt>
                <c:pt idx="3">
                  <c:v>03:00～04:00</c:v>
                </c:pt>
                <c:pt idx="4">
                  <c:v>04::00～05;00</c:v>
                </c:pt>
                <c:pt idx="5">
                  <c:v>05:00～06:00</c:v>
                </c:pt>
                <c:pt idx="6">
                  <c:v>06:00～07:00</c:v>
                </c:pt>
                <c:pt idx="7">
                  <c:v>07:00～08:00</c:v>
                </c:pt>
                <c:pt idx="8">
                  <c:v>08:00～09:00</c:v>
                </c:pt>
                <c:pt idx="9">
                  <c:v>09:00～10:00</c:v>
                </c:pt>
                <c:pt idx="10">
                  <c:v>10:00～11:00</c:v>
                </c:pt>
                <c:pt idx="11">
                  <c:v>11:00～12:00</c:v>
                </c:pt>
                <c:pt idx="12">
                  <c:v>12:00～13:00</c:v>
                </c:pt>
                <c:pt idx="13">
                  <c:v>13:00～14:00</c:v>
                </c:pt>
                <c:pt idx="14">
                  <c:v>14:00～15:00</c:v>
                </c:pt>
                <c:pt idx="15">
                  <c:v>15:00～16:00</c:v>
                </c:pt>
                <c:pt idx="16">
                  <c:v>16:00～17:00</c:v>
                </c:pt>
                <c:pt idx="17">
                  <c:v>17:00～18:00</c:v>
                </c:pt>
                <c:pt idx="18">
                  <c:v>18:00～19:00</c:v>
                </c:pt>
                <c:pt idx="19">
                  <c:v>19:00～20:00</c:v>
                </c:pt>
                <c:pt idx="20">
                  <c:v>20:00～21:00</c:v>
                </c:pt>
                <c:pt idx="21">
                  <c:v>21:00～22:00</c:v>
                </c:pt>
                <c:pt idx="22">
                  <c:v>22:00～23:00</c:v>
                </c:pt>
                <c:pt idx="23">
                  <c:v>23:00～00:00　</c:v>
                </c:pt>
              </c:strCache>
            </c:strRef>
          </c:cat>
          <c:val>
            <c:numRef>
              <c:f>Sheet1!$D$36:$D$59</c:f>
              <c:numCache>
                <c:formatCode>0.00_);[Red]\(0.00\)</c:formatCode>
                <c:ptCount val="24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8A3-4C54-9148-3F2A0537B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13671584"/>
        <c:axId val="1013671104"/>
      </c:lineChart>
      <c:catAx>
        <c:axId val="1013671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36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3671104"/>
        <c:crossesAt val="0"/>
        <c:auto val="1"/>
        <c:lblAlgn val="ctr"/>
        <c:lblOffset val="100"/>
        <c:noMultiLvlLbl val="0"/>
      </c:catAx>
      <c:valAx>
        <c:axId val="101367110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【kWh】</a:t>
                </a:r>
                <a:endParaRPr lang="ja-JP" altLang="en-US"/>
              </a:p>
            </c:rich>
          </c:tx>
          <c:layout>
            <c:manualLayout>
              <c:xMode val="edge"/>
              <c:yMode val="edge"/>
              <c:x val="1.479010601370275E-2"/>
              <c:y val="0.36429097177281389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#,##0.0_);[Red]\(#,##0.0\)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013671584"/>
        <c:crosses val="autoZero"/>
        <c:crossBetween val="between"/>
        <c:majorUnit val="5"/>
        <c:minorUnit val="0.5"/>
      </c:valAx>
    </c:plotArea>
    <c:legend>
      <c:legendPos val="b"/>
      <c:layout>
        <c:manualLayout>
          <c:xMode val="edge"/>
          <c:yMode val="edge"/>
          <c:x val="0.35141892208011449"/>
          <c:y val="0.9607959850004899"/>
          <c:w val="0.29976239623838918"/>
          <c:h val="3.9204014999509991E-2"/>
        </c:manualLayout>
      </c:layout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130662</xdr:colOff>
      <xdr:row>11</xdr:row>
      <xdr:rowOff>59615</xdr:rowOff>
    </xdr:from>
    <xdr:to>
      <xdr:col>13</xdr:col>
      <xdr:colOff>0</xdr:colOff>
      <xdr:row>31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V37"/>
  <sheetViews>
    <sheetView showGridLines="0" tabSelected="1" view="pageBreakPreview" topLeftCell="A7" zoomScale="85" zoomScaleNormal="85" zoomScaleSheetLayoutView="85" workbookViewId="0">
      <selection activeCell="J37" sqref="J37"/>
    </sheetView>
  </sheetViews>
  <sheetFormatPr defaultRowHeight="13.2" x14ac:dyDescent="0.2"/>
  <cols>
    <col min="1" max="1" width="2.21875" customWidth="1"/>
    <col min="2" max="2" width="35.44140625" customWidth="1"/>
    <col min="3" max="3" width="20" customWidth="1"/>
    <col min="4" max="4" width="12.6640625" customWidth="1"/>
    <col min="5" max="5" width="4.44140625" customWidth="1"/>
    <col min="6" max="7" width="7.44140625" customWidth="1"/>
    <col min="8" max="10" width="9.109375" customWidth="1"/>
    <col min="14" max="14" width="2.109375" customWidth="1"/>
  </cols>
  <sheetData>
    <row r="1" spans="2:13" ht="18.600000000000001" customHeight="1" x14ac:dyDescent="0.2">
      <c r="B1" s="49" t="s">
        <v>63</v>
      </c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</row>
    <row r="2" spans="2:13" ht="3" hidden="1" customHeight="1" x14ac:dyDescent="0.2">
      <c r="B2" s="1"/>
      <c r="C2" s="32"/>
      <c r="D2" s="2"/>
    </row>
    <row r="3" spans="2:13" ht="18" customHeight="1" x14ac:dyDescent="0.2">
      <c r="B3" t="s">
        <v>64</v>
      </c>
      <c r="C3" s="18"/>
      <c r="D3" s="18"/>
      <c r="E3" s="3"/>
      <c r="F3" s="3"/>
      <c r="G3" s="3"/>
    </row>
    <row r="4" spans="2:13" ht="0.6" hidden="1" customHeight="1" x14ac:dyDescent="0.2">
      <c r="B4" s="5"/>
      <c r="C4" s="5"/>
      <c r="D4" s="5"/>
    </row>
    <row r="5" spans="2:13" ht="18" customHeight="1" thickBot="1" x14ac:dyDescent="0.25">
      <c r="B5" s="60" t="s">
        <v>65</v>
      </c>
      <c r="C5" s="58"/>
      <c r="D5" s="5"/>
    </row>
    <row r="6" spans="2:13" ht="21" customHeight="1" thickBot="1" x14ac:dyDescent="0.25">
      <c r="B6" s="38" t="s">
        <v>66</v>
      </c>
      <c r="C6" s="61" t="s">
        <v>67</v>
      </c>
      <c r="D6" s="62"/>
      <c r="F6" s="59" t="s">
        <v>68</v>
      </c>
      <c r="G6" s="54"/>
      <c r="H6" s="52" t="s">
        <v>69</v>
      </c>
      <c r="I6" s="50"/>
      <c r="J6" s="50"/>
      <c r="K6" s="50"/>
      <c r="L6" s="50"/>
      <c r="M6" s="51"/>
    </row>
    <row r="7" spans="2:13" ht="21" customHeight="1" x14ac:dyDescent="0.2">
      <c r="B7" s="37" t="s">
        <v>30</v>
      </c>
      <c r="C7" s="43">
        <f>Sheet1!C33</f>
        <v>0</v>
      </c>
      <c r="D7" s="19" t="s">
        <v>70</v>
      </c>
      <c r="F7" s="55"/>
      <c r="G7" s="56"/>
      <c r="H7" s="52" t="s">
        <v>71</v>
      </c>
      <c r="I7" s="50"/>
      <c r="J7" s="50"/>
      <c r="K7" s="50"/>
      <c r="L7" s="50"/>
      <c r="M7" s="51"/>
    </row>
    <row r="8" spans="2:13" ht="21" customHeight="1" thickBot="1" x14ac:dyDescent="0.25">
      <c r="B8" s="45" t="s">
        <v>31</v>
      </c>
      <c r="C8" s="43">
        <f>Sheet1!D33</f>
        <v>0</v>
      </c>
      <c r="D8" s="19" t="s">
        <v>70</v>
      </c>
      <c r="F8" s="53" t="s">
        <v>72</v>
      </c>
      <c r="G8" s="51"/>
      <c r="H8" s="52" t="s">
        <v>73</v>
      </c>
      <c r="I8" s="50"/>
      <c r="J8" s="50"/>
      <c r="K8" s="50"/>
      <c r="L8" s="50"/>
      <c r="M8" s="51"/>
    </row>
    <row r="9" spans="2:13" ht="21" customHeight="1" thickBot="1" x14ac:dyDescent="0.25">
      <c r="B9" s="23" t="s">
        <v>74</v>
      </c>
      <c r="C9" s="39">
        <f>(C7-C8)</f>
        <v>0</v>
      </c>
      <c r="D9" s="24" t="s">
        <v>70</v>
      </c>
      <c r="E9" s="3"/>
      <c r="F9" s="53" t="s">
        <v>75</v>
      </c>
      <c r="G9" s="54"/>
      <c r="H9" s="52" t="s">
        <v>76</v>
      </c>
      <c r="I9" s="65"/>
      <c r="J9" s="65"/>
      <c r="K9" s="65"/>
      <c r="L9" s="65"/>
      <c r="M9" s="54"/>
    </row>
    <row r="10" spans="2:13" ht="21" customHeight="1" thickBot="1" x14ac:dyDescent="0.25">
      <c r="B10" s="42" t="s">
        <v>77</v>
      </c>
      <c r="C10" s="47">
        <f>C9*365</f>
        <v>0</v>
      </c>
      <c r="D10" s="24" t="s">
        <v>70</v>
      </c>
      <c r="E10" s="3"/>
      <c r="F10" s="55"/>
      <c r="G10" s="56"/>
      <c r="H10" s="55"/>
      <c r="I10" s="66"/>
      <c r="J10" s="66"/>
      <c r="K10" s="66"/>
      <c r="L10" s="66"/>
      <c r="M10" s="56"/>
    </row>
    <row r="11" spans="2:13" ht="21" customHeight="1" thickBot="1" x14ac:dyDescent="0.25">
      <c r="B11" s="40" t="s">
        <v>78</v>
      </c>
      <c r="C11" s="41">
        <f>C9*365*23</f>
        <v>0</v>
      </c>
      <c r="D11" s="24" t="s">
        <v>79</v>
      </c>
      <c r="E11" s="3"/>
      <c r="F11" s="59" t="s">
        <v>80</v>
      </c>
      <c r="G11" s="51"/>
      <c r="H11" s="52" t="s">
        <v>81</v>
      </c>
      <c r="I11" s="50"/>
      <c r="J11" s="50"/>
      <c r="K11" s="50"/>
      <c r="L11" s="50"/>
      <c r="M11" s="51"/>
    </row>
    <row r="12" spans="2:13" ht="21" customHeight="1" x14ac:dyDescent="0.2">
      <c r="E12" s="3"/>
      <c r="F12" s="7"/>
      <c r="G12" s="7"/>
      <c r="H12" s="12"/>
      <c r="I12" s="12"/>
      <c r="J12" s="12"/>
      <c r="K12" s="12"/>
      <c r="L12" s="12"/>
      <c r="M12" s="3"/>
    </row>
    <row r="13" spans="2:13" ht="21" customHeight="1" x14ac:dyDescent="0.2">
      <c r="E13" s="4"/>
    </row>
    <row r="14" spans="2:13" ht="21.6" customHeight="1" x14ac:dyDescent="0.2">
      <c r="E14" s="3"/>
    </row>
    <row r="15" spans="2:13" ht="22.5" customHeight="1" x14ac:dyDescent="0.2">
      <c r="E15" s="3"/>
    </row>
    <row r="16" spans="2:13" ht="24" customHeight="1" x14ac:dyDescent="0.2"/>
    <row r="22" spans="2:22" x14ac:dyDescent="0.2">
      <c r="O22" s="63"/>
      <c r="P22" s="58"/>
      <c r="Q22" s="57"/>
      <c r="R22" s="58"/>
      <c r="S22" s="58"/>
      <c r="T22" s="58"/>
      <c r="U22" s="58"/>
      <c r="V22" s="58"/>
    </row>
    <row r="23" spans="2:22" x14ac:dyDescent="0.2">
      <c r="O23" s="58"/>
      <c r="P23" s="58"/>
      <c r="Q23" s="57"/>
      <c r="R23" s="58"/>
      <c r="S23" s="58"/>
      <c r="T23" s="58"/>
      <c r="U23" s="58"/>
      <c r="V23" s="58"/>
    </row>
    <row r="24" spans="2:22" x14ac:dyDescent="0.2">
      <c r="O24" s="63"/>
      <c r="P24" s="58"/>
      <c r="Q24" s="57"/>
      <c r="R24" s="58"/>
      <c r="S24" s="58"/>
      <c r="T24" s="58"/>
      <c r="U24" s="58"/>
      <c r="V24" s="58"/>
    </row>
    <row r="25" spans="2:22" x14ac:dyDescent="0.2">
      <c r="O25" s="64"/>
      <c r="P25" s="58"/>
      <c r="Q25" s="57"/>
      <c r="R25" s="58"/>
      <c r="S25" s="58"/>
      <c r="T25" s="58"/>
      <c r="U25" s="58"/>
      <c r="V25" s="58"/>
    </row>
    <row r="26" spans="2:22" x14ac:dyDescent="0.2">
      <c r="O26" s="64"/>
      <c r="P26" s="58"/>
      <c r="Q26" s="57"/>
      <c r="R26" s="58"/>
      <c r="S26" s="58"/>
      <c r="T26" s="58"/>
      <c r="U26" s="58"/>
      <c r="V26" s="58"/>
    </row>
    <row r="27" spans="2:22" x14ac:dyDescent="0.2">
      <c r="O27" s="64"/>
      <c r="P27" s="58"/>
      <c r="Q27" s="57"/>
      <c r="R27" s="58"/>
      <c r="S27" s="58"/>
      <c r="T27" s="58"/>
      <c r="U27" s="58"/>
      <c r="V27" s="58"/>
    </row>
    <row r="32" spans="2:22" x14ac:dyDescent="0.2">
      <c r="B32" t="s">
        <v>82</v>
      </c>
    </row>
    <row r="33" spans="2:2" x14ac:dyDescent="0.2">
      <c r="B33" t="s">
        <v>83</v>
      </c>
    </row>
    <row r="37" spans="2:2" ht="15.75" customHeight="1" x14ac:dyDescent="0.2"/>
  </sheetData>
  <mergeCells count="23">
    <mergeCell ref="Q27:V27"/>
    <mergeCell ref="O26:P26"/>
    <mergeCell ref="H9:M10"/>
    <mergeCell ref="F8:G8"/>
    <mergeCell ref="O25:P25"/>
    <mergeCell ref="H8:M8"/>
    <mergeCell ref="O27:P27"/>
    <mergeCell ref="Q25:V25"/>
    <mergeCell ref="Q24:V24"/>
    <mergeCell ref="Q26:V26"/>
    <mergeCell ref="Q23:V23"/>
    <mergeCell ref="O24:P24"/>
    <mergeCell ref="B1:M1"/>
    <mergeCell ref="H11:M11"/>
    <mergeCell ref="F9:G10"/>
    <mergeCell ref="H7:M7"/>
    <mergeCell ref="Q22:V22"/>
    <mergeCell ref="F6:G7"/>
    <mergeCell ref="B5:C5"/>
    <mergeCell ref="H6:M6"/>
    <mergeCell ref="F11:G11"/>
    <mergeCell ref="C6:D6"/>
    <mergeCell ref="O22:P23"/>
  </mergeCells>
  <phoneticPr fontId="4"/>
  <printOptions horizontalCentered="1"/>
  <pageMargins left="0.23622047244094491" right="0.23622047244094491" top="0.74803149606299213" bottom="0.74803149606299213" header="0.31496062992125978" footer="0.31496062992125978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S62"/>
  <sheetViews>
    <sheetView view="pageBreakPreview" zoomScale="85" zoomScaleNormal="85" zoomScaleSheetLayoutView="85" workbookViewId="0">
      <pane xSplit="2" ySplit="1" topLeftCell="C32" activePane="bottomRight" state="frozen"/>
      <selection activeCell="C10" sqref="C10"/>
      <selection pane="topRight" activeCell="C10" sqref="C10"/>
      <selection pane="bottomLeft" activeCell="C10" sqref="C10"/>
      <selection pane="bottomRight" activeCell="I46" sqref="I46"/>
    </sheetView>
  </sheetViews>
  <sheetFormatPr defaultColWidth="9" defaultRowHeight="13.2" x14ac:dyDescent="0.2"/>
  <cols>
    <col min="1" max="1" width="7" style="6" customWidth="1"/>
    <col min="2" max="2" width="12.77734375" style="6" customWidth="1"/>
    <col min="3" max="3" width="12.88671875" style="8" customWidth="1"/>
    <col min="4" max="4" width="12.77734375" style="8" customWidth="1"/>
    <col min="5" max="5" width="8.21875" style="8" bestFit="1" customWidth="1"/>
    <col min="6" max="6" width="8.5546875" style="8" bestFit="1" customWidth="1"/>
    <col min="7" max="20" width="8.21875" style="8" bestFit="1" customWidth="1"/>
    <col min="21" max="21" width="8.21875" style="6" bestFit="1" customWidth="1"/>
    <col min="22" max="24" width="8.21875" style="13" bestFit="1" customWidth="1"/>
    <col min="25" max="29" width="9.21875" style="13" bestFit="1" customWidth="1"/>
    <col min="30" max="31" width="9" style="13" customWidth="1"/>
    <col min="32" max="16384" width="9" style="13"/>
  </cols>
  <sheetData>
    <row r="1" spans="1:45" s="22" customFormat="1" hidden="1" x14ac:dyDescent="0.2">
      <c r="A1" s="20"/>
      <c r="B1" s="21"/>
      <c r="C1" s="21">
        <v>42743</v>
      </c>
      <c r="D1" s="21">
        <v>42744</v>
      </c>
      <c r="E1" s="21">
        <v>42746</v>
      </c>
      <c r="F1" s="21"/>
      <c r="G1" s="31" t="s">
        <v>0</v>
      </c>
      <c r="H1" s="21">
        <v>42030</v>
      </c>
      <c r="I1" s="21">
        <v>42031</v>
      </c>
      <c r="J1" s="21">
        <v>42032</v>
      </c>
      <c r="K1" s="21">
        <v>42033</v>
      </c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</row>
    <row r="2" spans="1:45" hidden="1" x14ac:dyDescent="0.2">
      <c r="A2" s="2" t="s">
        <v>1</v>
      </c>
      <c r="B2" s="17"/>
      <c r="C2" s="17" t="s">
        <v>2</v>
      </c>
      <c r="D2" s="17" t="s">
        <v>2</v>
      </c>
      <c r="E2" s="17" t="s">
        <v>2</v>
      </c>
      <c r="F2" s="17" t="s">
        <v>2</v>
      </c>
      <c r="G2" s="17" t="s">
        <v>2</v>
      </c>
      <c r="H2" s="17" t="s">
        <v>2</v>
      </c>
      <c r="I2" s="17" t="s">
        <v>2</v>
      </c>
      <c r="J2" s="17" t="s">
        <v>2</v>
      </c>
      <c r="K2" s="17" t="s">
        <v>2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7"/>
    </row>
    <row r="3" spans="1:45" hidden="1" x14ac:dyDescent="0.2">
      <c r="A3" s="2"/>
      <c r="B3" s="2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</row>
    <row r="4" spans="1:45" hidden="1" x14ac:dyDescent="0.2">
      <c r="A4" s="25" t="s">
        <v>3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</row>
    <row r="5" spans="1:45" hidden="1" x14ac:dyDescent="0.2">
      <c r="A5" s="25" t="s">
        <v>4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</row>
    <row r="6" spans="1:45" hidden="1" x14ac:dyDescent="0.2">
      <c r="A6" s="25" t="s">
        <v>5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</row>
    <row r="7" spans="1:45" hidden="1" x14ac:dyDescent="0.2">
      <c r="A7" s="25" t="s">
        <v>6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</row>
    <row r="8" spans="1:45" hidden="1" x14ac:dyDescent="0.2">
      <c r="A8" s="25" t="s">
        <v>7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</row>
    <row r="9" spans="1:45" hidden="1" x14ac:dyDescent="0.2">
      <c r="A9" s="25" t="s">
        <v>8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</row>
    <row r="10" spans="1:45" hidden="1" x14ac:dyDescent="0.2">
      <c r="A10" s="25" t="s">
        <v>9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</row>
    <row r="11" spans="1:45" hidden="1" x14ac:dyDescent="0.2">
      <c r="A11" s="25" t="s">
        <v>10</v>
      </c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</row>
    <row r="12" spans="1:45" hidden="1" x14ac:dyDescent="0.2">
      <c r="A12" s="25" t="s">
        <v>11</v>
      </c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</row>
    <row r="13" spans="1:45" hidden="1" x14ac:dyDescent="0.2">
      <c r="A13" s="25" t="s">
        <v>12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</row>
    <row r="14" spans="1:45" hidden="1" x14ac:dyDescent="0.2">
      <c r="A14" s="25" t="s">
        <v>13</v>
      </c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</row>
    <row r="15" spans="1:45" hidden="1" x14ac:dyDescent="0.2">
      <c r="A15" s="25" t="s">
        <v>14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</row>
    <row r="16" spans="1:45" hidden="1" x14ac:dyDescent="0.2">
      <c r="A16" s="25" t="s">
        <v>15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</row>
    <row r="17" spans="1:45" hidden="1" x14ac:dyDescent="0.2">
      <c r="A17" s="25" t="s">
        <v>16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</row>
    <row r="18" spans="1:45" hidden="1" x14ac:dyDescent="0.2">
      <c r="A18" s="25" t="s">
        <v>17</v>
      </c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  <c r="AA18" s="28"/>
      <c r="AB18" s="28"/>
      <c r="AC18" s="28"/>
    </row>
    <row r="19" spans="1:45" hidden="1" x14ac:dyDescent="0.2">
      <c r="A19" s="25" t="s">
        <v>18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1:45" hidden="1" x14ac:dyDescent="0.2">
      <c r="A20" s="25" t="s">
        <v>19</v>
      </c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  <c r="AA20" s="28"/>
      <c r="AB20" s="28"/>
      <c r="AC20" s="28"/>
    </row>
    <row r="21" spans="1:45" hidden="1" x14ac:dyDescent="0.2">
      <c r="A21" s="25" t="s">
        <v>20</v>
      </c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</row>
    <row r="22" spans="1:45" hidden="1" x14ac:dyDescent="0.2">
      <c r="A22" s="25" t="s">
        <v>21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  <c r="AA22" s="28"/>
      <c r="AB22" s="28"/>
      <c r="AC22" s="28"/>
    </row>
    <row r="23" spans="1:45" hidden="1" x14ac:dyDescent="0.2">
      <c r="A23" s="25" t="s">
        <v>22</v>
      </c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</row>
    <row r="24" spans="1:45" hidden="1" x14ac:dyDescent="0.2">
      <c r="A24" s="25" t="s">
        <v>23</v>
      </c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</row>
    <row r="25" spans="1:45" hidden="1" x14ac:dyDescent="0.2">
      <c r="A25" s="25" t="s">
        <v>24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</row>
    <row r="26" spans="1:45" hidden="1" x14ac:dyDescent="0.2">
      <c r="A26" s="25" t="s">
        <v>25</v>
      </c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</row>
    <row r="27" spans="1:45" hidden="1" x14ac:dyDescent="0.2">
      <c r="A27" s="25" t="s">
        <v>26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</row>
    <row r="28" spans="1:45" hidden="1" x14ac:dyDescent="0.2">
      <c r="A28" s="2" t="s">
        <v>27</v>
      </c>
      <c r="B28" s="2">
        <f t="shared" ref="B28:K28" si="0">SUM(B4:B27)</f>
        <v>0</v>
      </c>
      <c r="C28" s="2">
        <f t="shared" si="0"/>
        <v>0</v>
      </c>
      <c r="D28" s="2">
        <f t="shared" si="0"/>
        <v>0</v>
      </c>
      <c r="E28" s="2">
        <f t="shared" si="0"/>
        <v>0</v>
      </c>
      <c r="F28" s="2">
        <f t="shared" si="0"/>
        <v>0</v>
      </c>
      <c r="G28" s="30">
        <f t="shared" si="0"/>
        <v>0</v>
      </c>
      <c r="H28" s="30">
        <f t="shared" si="0"/>
        <v>0</v>
      </c>
      <c r="I28" s="30">
        <f t="shared" si="0"/>
        <v>0</v>
      </c>
      <c r="J28" s="30">
        <f t="shared" si="0"/>
        <v>0</v>
      </c>
      <c r="K28" s="30">
        <f t="shared" si="0"/>
        <v>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hidden="1" x14ac:dyDescent="0.2">
      <c r="A29" s="2" t="s">
        <v>28</v>
      </c>
      <c r="B29" s="30">
        <f t="shared" ref="B29:K29" si="1">SUM(B4:B27)</f>
        <v>0</v>
      </c>
      <c r="C29" s="30">
        <f t="shared" si="1"/>
        <v>0</v>
      </c>
      <c r="D29" s="30">
        <f t="shared" si="1"/>
        <v>0</v>
      </c>
      <c r="E29" s="30">
        <f t="shared" si="1"/>
        <v>0</v>
      </c>
      <c r="F29" s="30">
        <f t="shared" si="1"/>
        <v>0</v>
      </c>
      <c r="G29" s="30">
        <f t="shared" si="1"/>
        <v>0</v>
      </c>
      <c r="H29" s="30">
        <f t="shared" si="1"/>
        <v>0</v>
      </c>
      <c r="I29" s="30">
        <f t="shared" si="1"/>
        <v>0</v>
      </c>
      <c r="J29" s="30">
        <f t="shared" si="1"/>
        <v>0</v>
      </c>
      <c r="K29" s="30">
        <f t="shared" si="1"/>
        <v>0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hidden="1" x14ac:dyDescent="0.2">
      <c r="A30" s="2" t="s">
        <v>29</v>
      </c>
      <c r="B30" s="30">
        <v>0</v>
      </c>
      <c r="C30" s="30">
        <v>0</v>
      </c>
      <c r="D30" s="30">
        <v>0</v>
      </c>
      <c r="E30" s="30">
        <v>0</v>
      </c>
      <c r="F30" s="30">
        <v>0</v>
      </c>
      <c r="G30" s="30">
        <v>0</v>
      </c>
      <c r="H30" s="30">
        <v>0</v>
      </c>
      <c r="I30" s="30">
        <v>0</v>
      </c>
      <c r="J30" s="30">
        <v>0</v>
      </c>
      <c r="K30" s="30"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hidden="1" x14ac:dyDescent="0.2">
      <c r="C31" s="68" t="s">
        <v>27</v>
      </c>
      <c r="D31" s="68"/>
      <c r="U31" s="13"/>
    </row>
    <row r="32" spans="1:45" ht="26.4" customHeight="1" x14ac:dyDescent="0.2">
      <c r="C32" s="33" t="s">
        <v>30</v>
      </c>
      <c r="D32" s="34" t="s">
        <v>31</v>
      </c>
      <c r="U32" s="13"/>
    </row>
    <row r="33" spans="1:21" x14ac:dyDescent="0.2">
      <c r="A33" s="46"/>
      <c r="B33" s="46" t="s">
        <v>27</v>
      </c>
      <c r="C33" s="14">
        <f>SUM(C36:C59)</f>
        <v>0</v>
      </c>
      <c r="D33" s="14">
        <f>SUM(D36:D59)</f>
        <v>0</v>
      </c>
      <c r="F33" s="9"/>
      <c r="G33" s="9"/>
      <c r="I33" s="9"/>
      <c r="J33" s="9"/>
      <c r="K33" s="9"/>
      <c r="L33" s="9"/>
      <c r="M33" s="9"/>
      <c r="N33" s="9"/>
      <c r="U33" s="13"/>
    </row>
    <row r="34" spans="1:21" x14ac:dyDescent="0.2">
      <c r="C34" s="67" t="s">
        <v>32</v>
      </c>
      <c r="D34" s="68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U34" s="13"/>
    </row>
    <row r="35" spans="1:21" ht="26.4" customHeight="1" x14ac:dyDescent="0.2">
      <c r="A35" t="s">
        <v>33</v>
      </c>
      <c r="B35" s="48" t="s">
        <v>34</v>
      </c>
      <c r="C35" s="36" t="s">
        <v>35</v>
      </c>
      <c r="D35" s="34" t="s">
        <v>36</v>
      </c>
      <c r="F35" s="44"/>
      <c r="G35" s="34"/>
      <c r="H35" s="34"/>
      <c r="I35" s="11"/>
      <c r="J35" s="11"/>
      <c r="K35" s="11"/>
      <c r="L35" s="11"/>
      <c r="M35" s="11"/>
      <c r="N35" s="11"/>
      <c r="T35" s="6"/>
      <c r="U35" s="13"/>
    </row>
    <row r="36" spans="1:21" x14ac:dyDescent="0.2">
      <c r="A36" t="s">
        <v>37</v>
      </c>
      <c r="B36" s="26" t="s">
        <v>3</v>
      </c>
      <c r="C36"/>
      <c r="D36" s="35"/>
      <c r="E36" s="35"/>
      <c r="R36" s="6"/>
      <c r="S36" s="13"/>
      <c r="T36" s="13"/>
      <c r="U36" s="13"/>
    </row>
    <row r="37" spans="1:21" x14ac:dyDescent="0.2">
      <c r="A37" t="s">
        <v>38</v>
      </c>
      <c r="B37" s="26" t="s">
        <v>4</v>
      </c>
      <c r="C37"/>
      <c r="D37" s="35"/>
      <c r="E37" s="35"/>
      <c r="R37" s="6"/>
      <c r="S37" s="13"/>
      <c r="T37" s="13"/>
      <c r="U37" s="13"/>
    </row>
    <row r="38" spans="1:21" x14ac:dyDescent="0.2">
      <c r="A38" t="s">
        <v>39</v>
      </c>
      <c r="B38" s="26" t="s">
        <v>5</v>
      </c>
      <c r="C38"/>
      <c r="D38" s="35"/>
      <c r="E38" s="35"/>
      <c r="R38" s="6"/>
      <c r="S38" s="13"/>
      <c r="T38" s="13"/>
      <c r="U38" s="13"/>
    </row>
    <row r="39" spans="1:21" x14ac:dyDescent="0.2">
      <c r="A39" t="s">
        <v>40</v>
      </c>
      <c r="B39" s="26" t="s">
        <v>6</v>
      </c>
      <c r="C39"/>
      <c r="D39" s="35"/>
      <c r="E39" s="35"/>
      <c r="R39" s="6"/>
      <c r="S39" s="13"/>
      <c r="T39" s="13"/>
      <c r="U39" s="13"/>
    </row>
    <row r="40" spans="1:21" x14ac:dyDescent="0.2">
      <c r="A40" t="s">
        <v>41</v>
      </c>
      <c r="B40" s="26" t="s">
        <v>42</v>
      </c>
      <c r="C40"/>
      <c r="D40" s="35"/>
      <c r="E40" s="35"/>
      <c r="R40" s="6"/>
      <c r="S40" s="13"/>
      <c r="T40" s="13"/>
      <c r="U40" s="13"/>
    </row>
    <row r="41" spans="1:21" x14ac:dyDescent="0.2">
      <c r="A41" t="s">
        <v>43</v>
      </c>
      <c r="B41" s="26" t="s">
        <v>8</v>
      </c>
      <c r="C41"/>
      <c r="D41" s="35"/>
      <c r="E41" s="35"/>
      <c r="R41" s="6"/>
      <c r="S41" s="13"/>
      <c r="T41" s="13"/>
      <c r="U41" s="13"/>
    </row>
    <row r="42" spans="1:21" x14ac:dyDescent="0.2">
      <c r="A42" t="s">
        <v>44</v>
      </c>
      <c r="B42" s="26" t="s">
        <v>9</v>
      </c>
      <c r="C42"/>
      <c r="D42" s="35"/>
      <c r="E42" s="35"/>
      <c r="R42" s="6"/>
      <c r="S42" s="13"/>
      <c r="T42" s="13"/>
      <c r="U42" s="13"/>
    </row>
    <row r="43" spans="1:21" x14ac:dyDescent="0.2">
      <c r="A43" t="s">
        <v>45</v>
      </c>
      <c r="B43" s="26" t="s">
        <v>10</v>
      </c>
      <c r="C43"/>
      <c r="D43" s="35"/>
      <c r="E43" s="35"/>
      <c r="R43" s="6"/>
      <c r="S43" s="13"/>
      <c r="T43" s="13"/>
      <c r="U43" s="13"/>
    </row>
    <row r="44" spans="1:21" x14ac:dyDescent="0.2">
      <c r="A44" t="s">
        <v>46</v>
      </c>
      <c r="B44" s="26" t="s">
        <v>11</v>
      </c>
      <c r="C44"/>
      <c r="D44" s="35"/>
      <c r="E44" s="35"/>
      <c r="R44" s="6"/>
      <c r="S44" s="13"/>
      <c r="T44" s="13"/>
      <c r="U44" s="13"/>
    </row>
    <row r="45" spans="1:21" x14ac:dyDescent="0.2">
      <c r="A45" t="s">
        <v>47</v>
      </c>
      <c r="B45" s="26" t="s">
        <v>12</v>
      </c>
      <c r="C45"/>
      <c r="D45" s="35"/>
      <c r="E45" s="35"/>
      <c r="R45" s="6"/>
      <c r="S45" s="13"/>
      <c r="T45" s="13"/>
      <c r="U45" s="13"/>
    </row>
    <row r="46" spans="1:21" x14ac:dyDescent="0.2">
      <c r="A46" t="s">
        <v>48</v>
      </c>
      <c r="B46" s="26" t="s">
        <v>13</v>
      </c>
      <c r="C46"/>
      <c r="D46" s="35"/>
      <c r="E46" s="35"/>
      <c r="R46" s="6"/>
      <c r="S46" s="13"/>
      <c r="T46" s="13"/>
      <c r="U46" s="13"/>
    </row>
    <row r="47" spans="1:21" x14ac:dyDescent="0.2">
      <c r="A47" t="s">
        <v>49</v>
      </c>
      <c r="B47" s="26" t="s">
        <v>14</v>
      </c>
      <c r="C47"/>
      <c r="D47" s="35"/>
      <c r="E47" s="35"/>
      <c r="R47" s="6"/>
      <c r="S47" s="13"/>
      <c r="T47" s="13"/>
      <c r="U47" s="13"/>
    </row>
    <row r="48" spans="1:21" x14ac:dyDescent="0.2">
      <c r="A48" t="s">
        <v>50</v>
      </c>
      <c r="B48" s="26" t="s">
        <v>15</v>
      </c>
      <c r="C48"/>
      <c r="D48" s="35"/>
      <c r="E48" s="35"/>
      <c r="R48" s="6"/>
      <c r="S48" s="13"/>
      <c r="T48" s="13"/>
      <c r="U48" s="13"/>
    </row>
    <row r="49" spans="1:21" x14ac:dyDescent="0.2">
      <c r="A49" t="s">
        <v>51</v>
      </c>
      <c r="B49" s="26" t="s">
        <v>16</v>
      </c>
      <c r="C49"/>
      <c r="D49" s="35"/>
      <c r="E49" s="35"/>
      <c r="R49" s="6"/>
      <c r="S49" s="13"/>
      <c r="T49" s="13"/>
      <c r="U49" s="13"/>
    </row>
    <row r="50" spans="1:21" x14ac:dyDescent="0.2">
      <c r="A50" t="s">
        <v>52</v>
      </c>
      <c r="B50" s="26" t="s">
        <v>17</v>
      </c>
      <c r="C50"/>
      <c r="D50" s="35"/>
      <c r="E50" s="35"/>
      <c r="R50" s="6"/>
      <c r="S50" s="13"/>
      <c r="T50" s="13"/>
      <c r="U50" s="13"/>
    </row>
    <row r="51" spans="1:21" x14ac:dyDescent="0.2">
      <c r="A51" t="s">
        <v>53</v>
      </c>
      <c r="B51" s="26" t="s">
        <v>18</v>
      </c>
      <c r="C51"/>
      <c r="D51" s="35"/>
      <c r="E51" s="35"/>
      <c r="R51" s="6"/>
      <c r="S51" s="13"/>
      <c r="T51" s="13"/>
      <c r="U51" s="13"/>
    </row>
    <row r="52" spans="1:21" x14ac:dyDescent="0.2">
      <c r="A52" t="s">
        <v>54</v>
      </c>
      <c r="B52" s="26" t="s">
        <v>19</v>
      </c>
      <c r="C52"/>
      <c r="D52" s="35"/>
      <c r="E52" s="35"/>
      <c r="R52" s="6"/>
      <c r="S52" s="13"/>
      <c r="T52" s="13"/>
      <c r="U52" s="13"/>
    </row>
    <row r="53" spans="1:21" x14ac:dyDescent="0.2">
      <c r="A53" t="s">
        <v>55</v>
      </c>
      <c r="B53" s="26" t="s">
        <v>20</v>
      </c>
      <c r="C53"/>
      <c r="D53" s="35"/>
      <c r="E53" s="35"/>
      <c r="R53" s="6"/>
      <c r="S53" s="13"/>
      <c r="T53" s="13"/>
      <c r="U53" s="13"/>
    </row>
    <row r="54" spans="1:21" x14ac:dyDescent="0.2">
      <c r="A54" t="s">
        <v>56</v>
      </c>
      <c r="B54" s="26" t="s">
        <v>21</v>
      </c>
      <c r="C54"/>
      <c r="D54" s="35"/>
      <c r="E54" s="35"/>
      <c r="R54" s="6"/>
      <c r="S54" s="13"/>
      <c r="T54" s="13"/>
      <c r="U54" s="13"/>
    </row>
    <row r="55" spans="1:21" x14ac:dyDescent="0.2">
      <c r="A55" t="s">
        <v>57</v>
      </c>
      <c r="B55" s="26" t="s">
        <v>22</v>
      </c>
      <c r="C55"/>
      <c r="D55" s="35"/>
      <c r="E55" s="35"/>
      <c r="R55" s="6"/>
      <c r="S55" s="13"/>
      <c r="T55" s="13"/>
      <c r="U55" s="13"/>
    </row>
    <row r="56" spans="1:21" x14ac:dyDescent="0.2">
      <c r="A56" t="s">
        <v>58</v>
      </c>
      <c r="B56" s="26" t="s">
        <v>23</v>
      </c>
      <c r="C56"/>
      <c r="D56" s="35"/>
      <c r="E56" s="35"/>
      <c r="R56" s="6"/>
      <c r="S56" s="13"/>
      <c r="T56" s="13"/>
      <c r="U56" s="13"/>
    </row>
    <row r="57" spans="1:21" x14ac:dyDescent="0.2">
      <c r="A57" t="s">
        <v>59</v>
      </c>
      <c r="B57" s="26" t="s">
        <v>24</v>
      </c>
      <c r="C57"/>
      <c r="D57" s="35"/>
      <c r="E57" s="35"/>
      <c r="R57" s="6"/>
      <c r="S57" s="13"/>
      <c r="T57" s="13"/>
      <c r="U57" s="13"/>
    </row>
    <row r="58" spans="1:21" x14ac:dyDescent="0.2">
      <c r="A58" t="s">
        <v>60</v>
      </c>
      <c r="B58" s="26" t="s">
        <v>25</v>
      </c>
      <c r="C58"/>
      <c r="D58" s="35"/>
      <c r="E58" s="35"/>
      <c r="R58" s="6"/>
      <c r="S58" s="13"/>
      <c r="T58" s="13"/>
      <c r="U58" s="13"/>
    </row>
    <row r="59" spans="1:21" x14ac:dyDescent="0.2">
      <c r="A59" t="s">
        <v>61</v>
      </c>
      <c r="B59" s="26" t="s">
        <v>62</v>
      </c>
      <c r="C59"/>
      <c r="D59" s="35"/>
      <c r="E59" s="35"/>
      <c r="R59" s="6"/>
      <c r="S59" s="13"/>
      <c r="T59" s="13"/>
      <c r="U59" s="13"/>
    </row>
    <row r="60" spans="1:21" x14ac:dyDescent="0.2">
      <c r="C60" s="27"/>
      <c r="U60" s="13"/>
    </row>
    <row r="61" spans="1:21" x14ac:dyDescent="0.2">
      <c r="U61" s="13"/>
    </row>
    <row r="62" spans="1:21" x14ac:dyDescent="0.2">
      <c r="U62" s="13"/>
    </row>
  </sheetData>
  <mergeCells count="2">
    <mergeCell ref="C34:D34"/>
    <mergeCell ref="C31:D31"/>
  </mergeCells>
  <phoneticPr fontId="4"/>
  <pageMargins left="0.75" right="0.75" top="1" bottom="1" header="0.51200000000000001" footer="0.51200000000000001"/>
  <pageSetup paperSize="9" scale="51" orientation="landscape" r:id="rId1"/>
  <rowBreaks count="1" manualBreakCount="1">
    <brk id="30" max="11" man="1"/>
  </rowBreaks>
  <colBreaks count="1" manualBreakCount="1">
    <brk id="15" max="5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まとめ</vt:lpstr>
      <vt:lpstr>Sheet1</vt:lpstr>
      <vt:lpstr>Sheet1!Print_Area</vt:lpstr>
      <vt:lpstr>まとめ!Print_Area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株式会社　遠藤照明</dc:creator>
  <cp:lastModifiedBy>渡部 令馬</cp:lastModifiedBy>
  <cp:lastPrinted>2026-04-02T13:55:45Z</cp:lastPrinted>
  <dcterms:created xsi:type="dcterms:W3CDTF">2003-12-04T00:16:06Z</dcterms:created>
  <dcterms:modified xsi:type="dcterms:W3CDTF">2026-04-02T14:07:49Z</dcterms:modified>
</cp:coreProperties>
</file>