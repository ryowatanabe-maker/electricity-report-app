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2969\Desktop\電力測定\"/>
    </mc:Choice>
  </mc:AlternateContent>
  <xr:revisionPtr revIDLastSave="0" documentId="8_{EBD7F4C6-88C6-468D-B9A9-9B7B08A0ED13}" xr6:coauthVersionLast="47" xr6:coauthVersionMax="47" xr10:uidLastSave="{00000000-0000-0000-0000-000000000000}"/>
  <bookViews>
    <workbookView xWindow="-108" yWindow="-108" windowWidth="23256" windowHeight="13896" tabRatio="693" activeTab="4" xr2:uid="{00000000-000D-0000-FFFF-FFFF00000000}"/>
  </bookViews>
  <sheets>
    <sheet name="まとめ" sheetId="1" r:id="rId1"/>
    <sheet name="Sheet1" sheetId="2" r:id="rId2"/>
    <sheet name="施工前" sheetId="3" r:id="rId3"/>
    <sheet name="施工後（調光後）" sheetId="4" r:id="rId4"/>
    <sheet name="元データ" sheetId="5" r:id="rId5"/>
  </sheets>
  <definedNames>
    <definedName name="_xlnm.Print_Area" localSheetId="1">Sheet1!$A$4:$K$59</definedName>
    <definedName name="_xlnm.Print_Area" localSheetId="0">まとめ!$A$1:$N$45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C8" i="1" s="1"/>
  <c r="C33" i="2"/>
  <c r="C7" i="1" s="1"/>
  <c r="K29" i="2"/>
  <c r="J29" i="2"/>
  <c r="I29" i="2"/>
  <c r="H29" i="2"/>
  <c r="G29" i="2"/>
  <c r="F29" i="2"/>
  <c r="E29" i="2"/>
  <c r="D29" i="2"/>
  <c r="C29" i="2"/>
  <c r="B29" i="2"/>
  <c r="K28" i="2"/>
  <c r="J28" i="2"/>
  <c r="I28" i="2"/>
  <c r="H28" i="2"/>
  <c r="G28" i="2"/>
  <c r="F28" i="2"/>
  <c r="E28" i="2"/>
  <c r="D28" i="2"/>
  <c r="C28" i="2"/>
  <c r="B28" i="2"/>
  <c r="C9" i="1" l="1"/>
  <c r="C11" i="1"/>
  <c r="C10" i="1"/>
</calcChain>
</file>

<file path=xl/sharedStrings.xml><?xml version="1.0" encoding="utf-8"?>
<sst xmlns="http://schemas.openxmlformats.org/spreadsheetml/2006/main" count="151" uniqueCount="93">
  <si>
    <t>オギノ韮崎店の使用電力比較報告書</t>
  </si>
  <si>
    <t>〇店内照明の使用電力量計測</t>
  </si>
  <si>
    <t>【使用電力量】</t>
  </si>
  <si>
    <t>項目</t>
  </si>
  <si>
    <t>使用電力量積算値（1日）</t>
  </si>
  <si>
    <t>＊測定期間</t>
  </si>
  <si>
    <t>施工前：2025/9/21～2025/9/26（6日間）</t>
  </si>
  <si>
    <t>施工前</t>
  </si>
  <si>
    <t>ｋＷｈ</t>
  </si>
  <si>
    <t>施工後(調光後)：2025/10/10～2025/10/15（6日間）</t>
  </si>
  <si>
    <t>施工後（調光後）</t>
  </si>
  <si>
    <t>＊営業時間</t>
  </si>
  <si>
    <t>8:00-22:00</t>
  </si>
  <si>
    <t>使用電力比較（1日）</t>
  </si>
  <si>
    <t>＊測定箇所</t>
  </si>
  <si>
    <t>電灯盤：回路ブレーカ（店内照明）</t>
  </si>
  <si>
    <t>年間削減電力量</t>
  </si>
  <si>
    <t>年間削減電気代（単価23.0円想定）</t>
  </si>
  <si>
    <t>円</t>
  </si>
  <si>
    <t>＊測定機器</t>
  </si>
  <si>
    <t>【パナソニック製多回路エネルギーモニタ】による電力量積算値</t>
  </si>
  <si>
    <t>【ご注意】</t>
  </si>
  <si>
    <t>・測定器の測定誤差は、公称値で±２％となります。予め、ご了承下さいますようお願い致します。</t>
  </si>
  <si>
    <t>100%予測値</t>
  </si>
  <si>
    <t>単位</t>
  </si>
  <si>
    <t>kWh</t>
  </si>
  <si>
    <t>00:00～01:00</t>
  </si>
  <si>
    <t>01:00～02:00</t>
  </si>
  <si>
    <t>02:00～03:00</t>
  </si>
  <si>
    <t>03:00～04:00</t>
  </si>
  <si>
    <t>04:00～05:00</t>
  </si>
  <si>
    <t>05:00～06:00</t>
  </si>
  <si>
    <t>06:00～07:00</t>
  </si>
  <si>
    <t>07:00～08:00</t>
  </si>
  <si>
    <t>08:00～09:00</t>
  </si>
  <si>
    <t>09:00～10:00</t>
  </si>
  <si>
    <t>10:00～11:00</t>
  </si>
  <si>
    <t>11:00～12:00</t>
  </si>
  <si>
    <t>12:00～13:00</t>
  </si>
  <si>
    <t>13:00～14:00</t>
  </si>
  <si>
    <t>14:00～15:00</t>
  </si>
  <si>
    <t>15:00～16:00</t>
  </si>
  <si>
    <t>16:00～17:00</t>
  </si>
  <si>
    <t>17:00～18:00</t>
  </si>
  <si>
    <t>18:00～19:00</t>
  </si>
  <si>
    <t>19:00～20:00</t>
  </si>
  <si>
    <t>20:00～21:00</t>
  </si>
  <si>
    <t>21:00～22:00</t>
  </si>
  <si>
    <t>22:00～23:00</t>
  </si>
  <si>
    <t>23:00～24:00</t>
  </si>
  <si>
    <t>合計</t>
  </si>
  <si>
    <t>営業時間帯</t>
  </si>
  <si>
    <t>営業時間外</t>
  </si>
  <si>
    <t>時間帯別平均値</t>
  </si>
  <si>
    <t>時間帯</t>
  </si>
  <si>
    <t>1階2階合計</t>
  </si>
  <si>
    <t>施工前 平均kWh/h</t>
  </si>
  <si>
    <t>施工後 平均kWh/h</t>
  </si>
  <si>
    <t>01:00</t>
  </si>
  <si>
    <t>02:00</t>
  </si>
  <si>
    <t>03:00</t>
  </si>
  <si>
    <t>04:00</t>
  </si>
  <si>
    <t>05:00</t>
  </si>
  <si>
    <t>04::00～05;00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</si>
  <si>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</si>
  <si>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</si>
  <si>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</si>
  <si>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</si>
  <si>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</si>
  <si>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</si>
  <si>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</si>
  <si>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</si>
  <si>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</si>
  <si>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</si>
  <si>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</si>
  <si>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</si>
  <si>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</si>
  <si>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</si>
  <si>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</si>
  <si>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</si>
  <si>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</si>
  <si>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</si>
  <si>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</si>
  <si>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23:00～00:00　</t>
  </si>
  <si>
    <t>年</t>
  </si>
  <si>
    <t>月</t>
  </si>
  <si>
    <t>日</t>
  </si>
  <si>
    <t>時</t>
  </si>
  <si>
    <t>kWh.1</t>
  </si>
  <si>
    <t>kWh.2</t>
  </si>
  <si>
    <t>kWh.3</t>
  </si>
  <si>
    <t>日付</t>
  </si>
  <si>
    <t>合計kWh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</si>
</sst>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_);[Red]\(0.0\)"/>
    <numFmt numFmtId="178" formatCode="0.00_);[Red]\(0.00\)"/>
    <numFmt numFmtId="179" formatCode="&quot;¥&quot;#,##0_);[Red]\(&quot;¥&quot;#,##0\)"/>
    <numFmt numFmtId="180" formatCode="0.0"/>
  </numFmts>
  <fonts count="15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color rgb="FF0070C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1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3" fillId="0" borderId="0"/>
    <xf numFmtId="0" fontId="1" fillId="0" borderId="0">
      <alignment vertical="center"/>
    </xf>
    <xf numFmtId="0" fontId="1" fillId="6" borderId="9">
      <alignment vertical="center"/>
    </xf>
  </cellStyleXfs>
  <cellXfs count="70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176" fontId="7" fillId="0" borderId="0" xfId="1" applyNumberFormat="1" applyFont="1" applyAlignment="1">
      <alignment horizontal="right"/>
    </xf>
    <xf numFmtId="0" fontId="2" fillId="0" borderId="0" xfId="0" applyFont="1"/>
    <xf numFmtId="177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/>
    </xf>
    <xf numFmtId="178" fontId="3" fillId="0" borderId="0" xfId="0" applyNumberFormat="1" applyFont="1" applyAlignment="1" applyProtection="1">
      <alignment horizontal="center"/>
      <protection hidden="1"/>
    </xf>
    <xf numFmtId="178" fontId="3" fillId="0" borderId="0" xfId="0" applyNumberFormat="1" applyFont="1" applyAlignment="1">
      <alignment vertical="center"/>
    </xf>
    <xf numFmtId="178" fontId="3" fillId="0" borderId="0" xfId="0" applyNumberFormat="1" applyFont="1"/>
    <xf numFmtId="0" fontId="6" fillId="0" borderId="0" xfId="0" applyFont="1" applyAlignment="1">
      <alignment horizontal="left" vertical="center"/>
    </xf>
    <xf numFmtId="177" fontId="3" fillId="0" borderId="0" xfId="0" applyNumberFormat="1" applyFont="1"/>
    <xf numFmtId="178" fontId="3" fillId="2" borderId="0" xfId="0" applyNumberFormat="1" applyFont="1" applyFill="1" applyAlignment="1" applyProtection="1">
      <alignment horizontal="center"/>
      <protection hidden="1"/>
    </xf>
    <xf numFmtId="0" fontId="0" fillId="3" borderId="0" xfId="0" applyFill="1"/>
    <xf numFmtId="56" fontId="0" fillId="0" borderId="0" xfId="0" applyNumberFormat="1"/>
    <xf numFmtId="56" fontId="0" fillId="0" borderId="0" xfId="0" applyNumberFormat="1" applyAlignment="1">
      <alignment horizontal="center" vertical="center"/>
    </xf>
    <xf numFmtId="0" fontId="3" fillId="0" borderId="0" xfId="0" applyFont="1"/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6" fontId="0" fillId="0" borderId="3" xfId="0" applyNumberFormat="1" applyBorder="1"/>
    <xf numFmtId="177" fontId="3" fillId="0" borderId="3" xfId="0" applyNumberFormat="1" applyFont="1" applyBorder="1"/>
    <xf numFmtId="0" fontId="8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7" fontId="3" fillId="5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2" fontId="0" fillId="0" borderId="0" xfId="0" applyNumberFormat="1"/>
    <xf numFmtId="2" fontId="0" fillId="5" borderId="0" xfId="0" applyNumberFormat="1" applyFill="1"/>
    <xf numFmtId="2" fontId="0" fillId="0" borderId="0" xfId="0" applyNumberFormat="1" applyAlignment="1">
      <alignment horizontal="center" vertical="center"/>
    </xf>
    <xf numFmtId="56" fontId="10" fillId="0" borderId="3" xfId="0" applyNumberFormat="1" applyFont="1" applyBorder="1"/>
    <xf numFmtId="0" fontId="0" fillId="0" borderId="0" xfId="0" applyAlignme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9" fontId="12" fillId="0" borderId="4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9" fontId="8" fillId="0" borderId="6" xfId="0" applyNumberFormat="1" applyFont="1" applyBorder="1" applyAlignment="1">
      <alignment horizontal="center" vertical="center" shrinkToFit="1"/>
    </xf>
    <xf numFmtId="177" fontId="0" fillId="0" borderId="0" xfId="0" applyNumberFormat="1"/>
    <xf numFmtId="180" fontId="9" fillId="0" borderId="4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/>
    </xf>
    <xf numFmtId="0" fontId="14" fillId="0" borderId="16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0" fillId="0" borderId="8" xfId="0" applyBorder="1"/>
    <xf numFmtId="0" fontId="6" fillId="0" borderId="11" xfId="0" applyFont="1" applyBorder="1" applyAlignment="1">
      <alignment horizontal="center" vertical="center" shrinkToFit="1"/>
    </xf>
    <xf numFmtId="0" fontId="0" fillId="0" borderId="5" xfId="0" applyBorder="1"/>
    <xf numFmtId="0" fontId="6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0" fillId="0" borderId="7" xfId="0" applyBorder="1"/>
    <xf numFmtId="0" fontId="6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0" xfId="0" applyFont="1" applyAlignment="1">
      <alignment horizontal="center" vertical="center"/>
    </xf>
    <xf numFmtId="0" fontId="0" fillId="0" borderId="15" xfId="0" applyBorder="1"/>
    <xf numFmtId="0" fontId="0" fillId="0" borderId="3" xfId="0" applyBorder="1"/>
    <xf numFmtId="0" fontId="0" fillId="0" borderId="0" xfId="0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/>
    </xf>
  </cellXfs>
  <cellStyles count="4">
    <cellStyle name="パーセント" xfId="1" builtinId="5"/>
    <cellStyle name="メモ 2" xfId="3" xr:uid="{00000000-0005-0000-0000-00002B000000}"/>
    <cellStyle name="標準" xfId="0" builtinId="0"/>
    <cellStyle name="標準 2" xfId="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  <a:r>
              <a:rPr lang="en-US" altLang="ja-JP">
                <a:latin typeface="+mn-ea"/>
                <a:ea typeface="+mn-ea"/>
              </a:rPr>
              <a:t>【</a:t>
            </a:r>
            <a:r>
              <a:rPr lang="ja-JP" altLang="en-US">
                <a:latin typeface="+mn-ea"/>
                <a:ea typeface="+mn-ea"/>
              </a:rPr>
              <a:t>時間帯別平均電力量</a:t>
            </a:r>
            <a:r>
              <a:rPr lang="en-US" altLang="ja-JP">
                <a:latin typeface="+mn-ea"/>
                <a:ea typeface="+mn-ea"/>
              </a:rPr>
              <a:t>】</a:t>
            </a:r>
            <a:endParaRPr lang="ja-JP" altLang="en-US">
              <a:latin typeface="+mn-ea"/>
              <a:ea typeface="+mn-ea"/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9560816486202321E-2"/>
          <c:y val="6.1288902129762172E-2"/>
          <c:w val="0.90573964704489529"/>
          <c:h val="0.70647620661264698"/>
        </c:manualLayout>
      </c:layout>
      <c:lineChart>
        <c:grouping val="standard"/>
        <c:varyColors val="0"/>
        <c:ser>
          <c:idx val="0"/>
          <c:order val="0"/>
          <c:tx>
            <c:strRef>
              <c:f>Sheet1!$C$35</c:f>
              <c:strCache>
                <c:ptCount val="1"/>
                <c:pt idx="0">
                  <c:v>施工前 平均kWh/h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Sheet1!$B$36:$B$59</c:f>
              <c:strCache>
                <c:ptCount val="24"/>
                <c:pt idx="0">
                  <c:v>00:00～01:00</c:v>
                </c:pt>
                <c:pt idx="1">
                  <c:v>01:00～02:00</c:v>
                </c:pt>
                <c:pt idx="2">
                  <c:v>02:00～03:00</c:v>
                </c:pt>
                <c:pt idx="3">
                  <c:v>03:00～04:00</c:v>
                </c:pt>
                <c:pt idx="4">
                  <c:v>04::00～05;00</c:v>
                </c:pt>
                <c:pt idx="5">
                  <c:v>05:00～06:00</c:v>
                </c:pt>
                <c:pt idx="6">
                  <c:v>06:00～07:00</c:v>
                </c:pt>
                <c:pt idx="7">
                  <c:v>07:00～08:00</c:v>
                </c:pt>
                <c:pt idx="8">
                  <c:v>08:00～09:00</c:v>
                </c:pt>
                <c:pt idx="9">
                  <c:v>09:00～10:00</c:v>
                </c:pt>
                <c:pt idx="10">
                  <c:v>10:00～11:00</c:v>
                </c:pt>
                <c:pt idx="11">
                  <c:v>11:00～12:00</c:v>
                </c:pt>
                <c:pt idx="12">
                  <c:v>12:00～13:00</c:v>
                </c:pt>
                <c:pt idx="13">
                  <c:v>13:00～14:00</c:v>
                </c:pt>
                <c:pt idx="14">
                  <c:v>14:00～15:00</c:v>
                </c:pt>
                <c:pt idx="15">
                  <c:v>15:00～16:00</c:v>
                </c:pt>
                <c:pt idx="16">
                  <c:v>16:00～17:00</c:v>
                </c:pt>
                <c:pt idx="17">
                  <c:v>17:00～18:00</c:v>
                </c:pt>
                <c:pt idx="18">
                  <c:v>18:00～19:00</c:v>
                </c:pt>
                <c:pt idx="19">
                  <c:v>19:00～20:00</c:v>
                </c:pt>
                <c:pt idx="20">
                  <c:v>20:00～21:00</c:v>
                </c:pt>
                <c:pt idx="21">
                  <c:v>21:00～22:00</c:v>
                </c:pt>
                <c:pt idx="22">
                  <c:v>22:00～23:00</c:v>
                </c:pt>
                <c:pt idx="23">
                  <c:v>23:00～00:00　</c:v>
                </c:pt>
              </c:strCache>
            </c:strRef>
          </c:cat>
          <c:val>
            <c:numRef>
              <c:f>Sheet1!#REF!</c:f>
              <c:numCache>
                <c:formatCode>0.00</c:formatCode>
                <c:ptCount val="24"/>
                <c:pt idx="0">
                  <c:v>2.1284908333333341</c:v>
                </c:pt>
                <c:pt idx="1">
                  <c:v>2.1074166666666669</c:v>
                </c:pt>
                <c:pt idx="2">
                  <c:v>2.096879583333334</c:v>
                </c:pt>
                <c:pt idx="3">
                  <c:v>2.1179537499999999</c:v>
                </c:pt>
                <c:pt idx="4">
                  <c:v>2.3392325</c:v>
                </c:pt>
                <c:pt idx="5">
                  <c:v>4.8470583333333339</c:v>
                </c:pt>
                <c:pt idx="6">
                  <c:v>7.6183112500000014</c:v>
                </c:pt>
                <c:pt idx="7">
                  <c:v>9.8627100000000016</c:v>
                </c:pt>
                <c:pt idx="8">
                  <c:v>21.305982499999999</c:v>
                </c:pt>
                <c:pt idx="9">
                  <c:v>30.968487916666671</c:v>
                </c:pt>
                <c:pt idx="10">
                  <c:v>30.926339583333341</c:v>
                </c:pt>
                <c:pt idx="11">
                  <c:v>30.957950833333339</c:v>
                </c:pt>
                <c:pt idx="12">
                  <c:v>30.968487916666671</c:v>
                </c:pt>
                <c:pt idx="13">
                  <c:v>30.979025</c:v>
                </c:pt>
                <c:pt idx="14">
                  <c:v>31.07385875000001</c:v>
                </c:pt>
                <c:pt idx="15">
                  <c:v>31.706083750000001</c:v>
                </c:pt>
                <c:pt idx="16">
                  <c:v>33.107515833333338</c:v>
                </c:pt>
                <c:pt idx="17">
                  <c:v>33.002145000000013</c:v>
                </c:pt>
                <c:pt idx="18">
                  <c:v>31.537490416666671</c:v>
                </c:pt>
                <c:pt idx="19">
                  <c:v>30.968487916666671</c:v>
                </c:pt>
                <c:pt idx="20">
                  <c:v>20.315496666666672</c:v>
                </c:pt>
                <c:pt idx="21">
                  <c:v>5.9007666666666667</c:v>
                </c:pt>
                <c:pt idx="22">
                  <c:v>2.1284908333333341</c:v>
                </c:pt>
                <c:pt idx="23">
                  <c:v>2.1495649999999999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5-436C-9C82-E405E723F93B}"/>
            </c:ext>
          </c:extLst>
        </c:ser>
        <c:ser>
          <c:idx val="1"/>
          <c:order val="1"/>
          <c:tx>
            <c:strRef>
              <c:f>Sheet1!$D$35</c:f>
              <c:strCache>
                <c:ptCount val="1"/>
                <c:pt idx="0">
                  <c:v>施工後 平均kWh/h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Sheet1!$B$36:$B$59</c:f>
              <c:strCache>
                <c:ptCount val="24"/>
                <c:pt idx="0">
                  <c:v>00:00～01:00</c:v>
                </c:pt>
                <c:pt idx="1">
                  <c:v>01:00～02:00</c:v>
                </c:pt>
                <c:pt idx="2">
                  <c:v>02:00～03:00</c:v>
                </c:pt>
                <c:pt idx="3">
                  <c:v>03:00～04:00</c:v>
                </c:pt>
                <c:pt idx="4">
                  <c:v>04::00～05;00</c:v>
                </c:pt>
                <c:pt idx="5">
                  <c:v>05:00～06:00</c:v>
                </c:pt>
                <c:pt idx="6">
                  <c:v>06:00～07:00</c:v>
                </c:pt>
                <c:pt idx="7">
                  <c:v>07:00～08:00</c:v>
                </c:pt>
                <c:pt idx="8">
                  <c:v>08:00～09:00</c:v>
                </c:pt>
                <c:pt idx="9">
                  <c:v>09:00～10:00</c:v>
                </c:pt>
                <c:pt idx="10">
                  <c:v>10:00～11:00</c:v>
                </c:pt>
                <c:pt idx="11">
                  <c:v>11:00～12:00</c:v>
                </c:pt>
                <c:pt idx="12">
                  <c:v>12:00～13:00</c:v>
                </c:pt>
                <c:pt idx="13">
                  <c:v>13:00～14:00</c:v>
                </c:pt>
                <c:pt idx="14">
                  <c:v>14:00～15:00</c:v>
                </c:pt>
                <c:pt idx="15">
                  <c:v>15:00～16:00</c:v>
                </c:pt>
                <c:pt idx="16">
                  <c:v>16:00～17:00</c:v>
                </c:pt>
                <c:pt idx="17">
                  <c:v>17:00～18:00</c:v>
                </c:pt>
                <c:pt idx="18">
                  <c:v>18:00～19:00</c:v>
                </c:pt>
                <c:pt idx="19">
                  <c:v>19:00～20:00</c:v>
                </c:pt>
                <c:pt idx="20">
                  <c:v>20:00～21:00</c:v>
                </c:pt>
                <c:pt idx="21">
                  <c:v>21:00～22:00</c:v>
                </c:pt>
                <c:pt idx="22">
                  <c:v>22:00～23:00</c:v>
                </c:pt>
                <c:pt idx="23">
                  <c:v>23:00～00:00　</c:v>
                </c:pt>
              </c:strCache>
            </c:strRef>
          </c:cat>
          <c:val>
            <c:numRef>
              <c:f>Sheet1!#REF!</c:f>
              <c:numCache>
                <c:formatCode>0.00</c:formatCode>
                <c:ptCount val="24"/>
                <c:pt idx="0">
                  <c:v>1.65</c:v>
                </c:pt>
                <c:pt idx="1">
                  <c:v>1.666666666666667</c:v>
                </c:pt>
                <c:pt idx="2">
                  <c:v>1.65</c:v>
                </c:pt>
                <c:pt idx="3">
                  <c:v>1.666666666666667</c:v>
                </c:pt>
                <c:pt idx="4">
                  <c:v>1.65</c:v>
                </c:pt>
                <c:pt idx="5">
                  <c:v>2.5166666666666671</c:v>
                </c:pt>
                <c:pt idx="6">
                  <c:v>4.25</c:v>
                </c:pt>
                <c:pt idx="7">
                  <c:v>7.4333333333333336</c:v>
                </c:pt>
                <c:pt idx="8">
                  <c:v>10.866666666666671</c:v>
                </c:pt>
                <c:pt idx="9">
                  <c:v>28.733333333333331</c:v>
                </c:pt>
                <c:pt idx="10">
                  <c:v>28.6</c:v>
                </c:pt>
                <c:pt idx="11">
                  <c:v>28.766666666666669</c:v>
                </c:pt>
                <c:pt idx="12">
                  <c:v>29.183333333333341</c:v>
                </c:pt>
                <c:pt idx="13">
                  <c:v>29.016666666666669</c:v>
                </c:pt>
                <c:pt idx="14">
                  <c:v>29.05</c:v>
                </c:pt>
                <c:pt idx="15">
                  <c:v>29.016666666666669</c:v>
                </c:pt>
                <c:pt idx="16">
                  <c:v>26.666666666666671</c:v>
                </c:pt>
                <c:pt idx="17">
                  <c:v>26.233333333333331</c:v>
                </c:pt>
                <c:pt idx="18">
                  <c:v>26.25</c:v>
                </c:pt>
                <c:pt idx="19">
                  <c:v>26.18333333333333</c:v>
                </c:pt>
                <c:pt idx="20">
                  <c:v>26.016666666666669</c:v>
                </c:pt>
                <c:pt idx="21">
                  <c:v>8.15</c:v>
                </c:pt>
                <c:pt idx="22">
                  <c:v>1.616666666666666</c:v>
                </c:pt>
                <c:pt idx="23">
                  <c:v>1.616666666666666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5-436C-9C82-E405E723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671584"/>
        <c:axId val="1013671104"/>
      </c:lineChart>
      <c:catAx>
        <c:axId val="101367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36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3671104"/>
        <c:crossesAt val="0"/>
        <c:auto val="1"/>
        <c:lblAlgn val="ctr"/>
        <c:lblOffset val="100"/>
        <c:noMultiLvlLbl val="0"/>
      </c:catAx>
      <c:valAx>
        <c:axId val="101367110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【kWh】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1.479010601370275E-2"/>
              <c:y val="0.3642909717728138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3671584"/>
        <c:crosses val="autoZero"/>
        <c:crossBetween val="between"/>
        <c:majorUnit val="5"/>
        <c:minorUnit val="0.5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11148</xdr:colOff>
      <xdr:row>12</xdr:row>
      <xdr:rowOff>0</xdr:rowOff>
    </xdr:from>
    <xdr:to>
      <xdr:col>13</xdr:col>
      <xdr:colOff>8965</xdr:colOff>
      <xdr:row>44</xdr:row>
      <xdr:rowOff>141515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V45"/>
  <sheetViews>
    <sheetView showGridLines="0" view="pageBreakPreview" topLeftCell="A3" zoomScale="85" zoomScaleNormal="85" zoomScaleSheetLayoutView="85" workbookViewId="0">
      <selection activeCell="S13" sqref="S13"/>
    </sheetView>
  </sheetViews>
  <sheetFormatPr defaultRowHeight="13.2" x14ac:dyDescent="0.2"/>
  <cols>
    <col min="1" max="1" width="2.21875" customWidth="1"/>
    <col min="2" max="2" width="35.44140625" customWidth="1"/>
    <col min="3" max="3" width="20" customWidth="1"/>
    <col min="4" max="4" width="12.6640625" customWidth="1"/>
    <col min="5" max="5" width="4.44140625" customWidth="1"/>
    <col min="6" max="7" width="7.44140625" customWidth="1"/>
    <col min="8" max="10" width="9.109375" customWidth="1"/>
    <col min="14" max="14" width="2.109375" customWidth="1"/>
  </cols>
  <sheetData>
    <row r="1" spans="2:13" ht="24" customHeight="1" x14ac:dyDescent="0.2">
      <c r="B1" s="57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1"/>
    </row>
    <row r="2" spans="2:13" ht="5.25" customHeight="1" x14ac:dyDescent="0.2">
      <c r="B2" s="1"/>
      <c r="C2" s="32"/>
      <c r="D2" s="2"/>
    </row>
    <row r="3" spans="2:13" ht="18" customHeight="1" x14ac:dyDescent="0.2">
      <c r="B3" t="s">
        <v>1</v>
      </c>
      <c r="C3" s="18"/>
      <c r="D3" s="18"/>
      <c r="E3" s="3"/>
      <c r="F3" s="3"/>
      <c r="G3" s="3"/>
    </row>
    <row r="4" spans="2:13" ht="5.25" customHeight="1" x14ac:dyDescent="0.2">
      <c r="B4" s="5"/>
      <c r="C4" s="5"/>
      <c r="D4" s="5"/>
    </row>
    <row r="5" spans="2:13" ht="18" customHeight="1" thickBot="1" x14ac:dyDescent="0.25">
      <c r="B5" s="67" t="s">
        <v>2</v>
      </c>
      <c r="C5" s="55"/>
      <c r="D5" s="5"/>
    </row>
    <row r="6" spans="2:13" ht="21" customHeight="1" thickBot="1" x14ac:dyDescent="0.25">
      <c r="B6" s="38" t="s">
        <v>3</v>
      </c>
      <c r="C6" s="52" t="s">
        <v>4</v>
      </c>
      <c r="D6" s="53"/>
      <c r="F6" s="50" t="s">
        <v>5</v>
      </c>
      <c r="G6" s="61"/>
      <c r="H6" s="59" t="s">
        <v>6</v>
      </c>
      <c r="I6" s="58"/>
      <c r="J6" s="58"/>
      <c r="K6" s="58"/>
      <c r="L6" s="58"/>
      <c r="M6" s="51"/>
    </row>
    <row r="7" spans="2:13" ht="21" customHeight="1" x14ac:dyDescent="0.2">
      <c r="B7" s="37" t="s">
        <v>7</v>
      </c>
      <c r="C7" s="43" t="e">
        <f>Sheet1!C33</f>
        <v>#REF!</v>
      </c>
      <c r="D7" s="19" t="s">
        <v>8</v>
      </c>
      <c r="F7" s="62"/>
      <c r="G7" s="63"/>
      <c r="H7" s="59" t="s">
        <v>9</v>
      </c>
      <c r="I7" s="58"/>
      <c r="J7" s="58"/>
      <c r="K7" s="58"/>
      <c r="L7" s="58"/>
      <c r="M7" s="51"/>
    </row>
    <row r="8" spans="2:13" ht="21" customHeight="1" thickBot="1" x14ac:dyDescent="0.25">
      <c r="B8" s="45" t="s">
        <v>10</v>
      </c>
      <c r="C8" s="43" t="e">
        <f>Sheet1!D33</f>
        <v>#REF!</v>
      </c>
      <c r="D8" s="19" t="s">
        <v>8</v>
      </c>
      <c r="F8" s="60" t="s">
        <v>11</v>
      </c>
      <c r="G8" s="51"/>
      <c r="H8" s="59" t="s">
        <v>12</v>
      </c>
      <c r="I8" s="58"/>
      <c r="J8" s="58"/>
      <c r="K8" s="58"/>
      <c r="L8" s="58"/>
      <c r="M8" s="51"/>
    </row>
    <row r="9" spans="2:13" ht="21" customHeight="1" thickBot="1" x14ac:dyDescent="0.25">
      <c r="B9" s="23" t="s">
        <v>13</v>
      </c>
      <c r="C9" s="39" t="e">
        <f>(C7-C8)</f>
        <v>#REF!</v>
      </c>
      <c r="D9" s="24" t="s">
        <v>8</v>
      </c>
      <c r="E9" s="3"/>
      <c r="F9" s="60" t="s">
        <v>14</v>
      </c>
      <c r="G9" s="61"/>
      <c r="H9" s="59" t="s">
        <v>15</v>
      </c>
      <c r="I9" s="65"/>
      <c r="J9" s="65"/>
      <c r="K9" s="65"/>
      <c r="L9" s="65"/>
      <c r="M9" s="61"/>
    </row>
    <row r="10" spans="2:13" ht="21" customHeight="1" thickBot="1" x14ac:dyDescent="0.25">
      <c r="B10" s="42" t="s">
        <v>16</v>
      </c>
      <c r="C10" s="47" t="e">
        <f>C9*365</f>
        <v>#REF!</v>
      </c>
      <c r="D10" s="24" t="s">
        <v>8</v>
      </c>
      <c r="E10" s="3"/>
      <c r="F10" s="62"/>
      <c r="G10" s="63"/>
      <c r="H10" s="62"/>
      <c r="I10" s="66"/>
      <c r="J10" s="66"/>
      <c r="K10" s="66"/>
      <c r="L10" s="66"/>
      <c r="M10" s="63"/>
    </row>
    <row r="11" spans="2:13" ht="21" customHeight="1" thickBot="1" x14ac:dyDescent="0.25">
      <c r="B11" s="40" t="s">
        <v>17</v>
      </c>
      <c r="C11" s="41" t="e">
        <f>C9*365*23</f>
        <v>#REF!</v>
      </c>
      <c r="D11" s="24" t="s">
        <v>18</v>
      </c>
      <c r="E11" s="3"/>
      <c r="F11" s="50" t="s">
        <v>19</v>
      </c>
      <c r="G11" s="51"/>
      <c r="H11" s="59" t="s">
        <v>20</v>
      </c>
      <c r="I11" s="58"/>
      <c r="J11" s="58"/>
      <c r="K11" s="58"/>
      <c r="L11" s="58"/>
      <c r="M11" s="51"/>
    </row>
    <row r="12" spans="2:13" ht="21" customHeight="1" x14ac:dyDescent="0.2">
      <c r="E12" s="3"/>
      <c r="F12" s="7"/>
      <c r="G12" s="7"/>
      <c r="H12" s="12"/>
      <c r="I12" s="12"/>
      <c r="J12" s="12"/>
      <c r="K12" s="12"/>
      <c r="L12" s="12"/>
      <c r="M12" s="3"/>
    </row>
    <row r="13" spans="2:13" ht="21" customHeight="1" x14ac:dyDescent="0.2">
      <c r="E13" s="4"/>
    </row>
    <row r="14" spans="2:13" ht="21.6" customHeight="1" x14ac:dyDescent="0.2">
      <c r="E14" s="3"/>
    </row>
    <row r="15" spans="2:13" ht="22.5" customHeight="1" x14ac:dyDescent="0.2">
      <c r="E15" s="3"/>
    </row>
    <row r="16" spans="2:13" ht="24" customHeight="1" x14ac:dyDescent="0.2"/>
    <row r="22" spans="15:22" x14ac:dyDescent="0.2">
      <c r="O22" s="56"/>
      <c r="P22" s="55"/>
      <c r="Q22" s="54"/>
      <c r="R22" s="55"/>
      <c r="S22" s="55"/>
      <c r="T22" s="55"/>
      <c r="U22" s="55"/>
      <c r="V22" s="55"/>
    </row>
    <row r="23" spans="15:22" x14ac:dyDescent="0.2">
      <c r="O23" s="55"/>
      <c r="P23" s="55"/>
      <c r="Q23" s="54"/>
      <c r="R23" s="55"/>
      <c r="S23" s="55"/>
      <c r="T23" s="55"/>
      <c r="U23" s="55"/>
      <c r="V23" s="55"/>
    </row>
    <row r="24" spans="15:22" x14ac:dyDescent="0.2">
      <c r="O24" s="56"/>
      <c r="P24" s="55"/>
      <c r="Q24" s="54"/>
      <c r="R24" s="55"/>
      <c r="S24" s="55"/>
      <c r="T24" s="55"/>
      <c r="U24" s="55"/>
      <c r="V24" s="55"/>
    </row>
    <row r="25" spans="15:22" x14ac:dyDescent="0.2">
      <c r="O25" s="64"/>
      <c r="P25" s="55"/>
      <c r="Q25" s="54"/>
      <c r="R25" s="55"/>
      <c r="S25" s="55"/>
      <c r="T25" s="55"/>
      <c r="U25" s="55"/>
      <c r="V25" s="55"/>
    </row>
    <row r="26" spans="15:22" x14ac:dyDescent="0.2">
      <c r="O26" s="64"/>
      <c r="P26" s="55"/>
      <c r="Q26" s="54"/>
      <c r="R26" s="55"/>
      <c r="S26" s="55"/>
      <c r="T26" s="55"/>
      <c r="U26" s="55"/>
      <c r="V26" s="55"/>
    </row>
    <row r="27" spans="15:22" x14ac:dyDescent="0.2">
      <c r="O27" s="64"/>
      <c r="P27" s="55"/>
      <c r="Q27" s="54"/>
      <c r="R27" s="55"/>
      <c r="S27" s="55"/>
      <c r="T27" s="55"/>
      <c r="U27" s="55"/>
      <c r="V27" s="55"/>
    </row>
    <row r="37" spans="2:2" ht="15.75" customHeight="1" x14ac:dyDescent="0.2"/>
    <row r="44" spans="2:2" x14ac:dyDescent="0.2">
      <c r="B44" t="s">
        <v>21</v>
      </c>
    </row>
    <row r="45" spans="2:2" x14ac:dyDescent="0.2">
      <c r="B45" t="s">
        <v>22</v>
      </c>
    </row>
  </sheetData>
  <mergeCells count="23">
    <mergeCell ref="Q27:V27"/>
    <mergeCell ref="O26:P26"/>
    <mergeCell ref="H9:M10"/>
    <mergeCell ref="F8:G8"/>
    <mergeCell ref="O25:P25"/>
    <mergeCell ref="H8:M8"/>
    <mergeCell ref="O27:P27"/>
    <mergeCell ref="Q25:V25"/>
    <mergeCell ref="Q24:V24"/>
    <mergeCell ref="Q26:V26"/>
    <mergeCell ref="B1:M1"/>
    <mergeCell ref="H11:M11"/>
    <mergeCell ref="F9:G10"/>
    <mergeCell ref="H7:M7"/>
    <mergeCell ref="Q22:V22"/>
    <mergeCell ref="F6:G7"/>
    <mergeCell ref="B5:C5"/>
    <mergeCell ref="H6:M6"/>
    <mergeCell ref="F11:G11"/>
    <mergeCell ref="C6:D6"/>
    <mergeCell ref="Q23:V23"/>
    <mergeCell ref="O24:P24"/>
    <mergeCell ref="O22:P23"/>
  </mergeCells>
  <phoneticPr fontId="4"/>
  <printOptions horizontalCentered="1"/>
  <pageMargins left="0.23622047244094491" right="0.23622047244094491" top="0.74803149606299213" bottom="0.74803149606299213" header="0.31496062992125978" footer="0.31496062992125978"/>
  <pageSetup paperSize="9" scale="6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S62"/>
  <sheetViews>
    <sheetView view="pageBreakPreview" zoomScaleNormal="85" zoomScaleSheetLayoutView="100" workbookViewId="0">
      <pane xSplit="2" ySplit="1" topLeftCell="C32" activePane="bottomRight" state="frozen"/>
      <selection activeCell="C10" sqref="C10"/>
      <selection pane="topRight" activeCell="C10" sqref="C10"/>
      <selection pane="bottomLeft" activeCell="C10" sqref="C10"/>
      <selection pane="bottomRight" activeCell="D33" sqref="D33"/>
    </sheetView>
  </sheetViews>
  <sheetFormatPr defaultColWidth="9" defaultRowHeight="13.2" x14ac:dyDescent="0.2"/>
  <cols>
    <col min="1" max="1" width="7" style="6" customWidth="1"/>
    <col min="2" max="2" width="12.77734375" style="6" customWidth="1"/>
    <col min="3" max="3" width="12.88671875" style="8" customWidth="1"/>
    <col min="4" max="4" width="12.77734375" style="8" customWidth="1"/>
    <col min="5" max="5" width="8.21875" style="8" bestFit="1" customWidth="1"/>
    <col min="6" max="6" width="8.5546875" style="8" bestFit="1" customWidth="1"/>
    <col min="7" max="20" width="8.21875" style="8" bestFit="1" customWidth="1"/>
    <col min="21" max="21" width="8.21875" style="6" bestFit="1" customWidth="1"/>
    <col min="22" max="24" width="8.21875" style="13" bestFit="1" customWidth="1"/>
    <col min="25" max="29" width="9.21875" style="13" bestFit="1" customWidth="1"/>
    <col min="30" max="30" width="9" style="13" customWidth="1"/>
    <col min="31" max="16384" width="9" style="13"/>
  </cols>
  <sheetData>
    <row r="1" spans="1:45" s="22" customFormat="1" hidden="1" x14ac:dyDescent="0.2">
      <c r="A1" s="20"/>
      <c r="B1" s="21"/>
      <c r="C1" s="21">
        <v>42743</v>
      </c>
      <c r="D1" s="21">
        <v>42744</v>
      </c>
      <c r="E1" s="21">
        <v>42746</v>
      </c>
      <c r="F1" s="21"/>
      <c r="G1" s="31" t="s">
        <v>23</v>
      </c>
      <c r="H1" s="21">
        <v>42030</v>
      </c>
      <c r="I1" s="21">
        <v>42031</v>
      </c>
      <c r="J1" s="21">
        <v>42032</v>
      </c>
      <c r="K1" s="21">
        <v>42033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</row>
    <row r="2" spans="1:45" hidden="1" x14ac:dyDescent="0.2">
      <c r="A2" s="2" t="s">
        <v>24</v>
      </c>
      <c r="B2" s="17"/>
      <c r="C2" s="17" t="s">
        <v>25</v>
      </c>
      <c r="D2" s="17" t="s">
        <v>25</v>
      </c>
      <c r="E2" s="17" t="s">
        <v>25</v>
      </c>
      <c r="F2" s="17" t="s">
        <v>25</v>
      </c>
      <c r="G2" s="17" t="s">
        <v>25</v>
      </c>
      <c r="H2" s="17" t="s">
        <v>25</v>
      </c>
      <c r="I2" s="17" t="s">
        <v>25</v>
      </c>
      <c r="J2" s="17" t="s">
        <v>25</v>
      </c>
      <c r="K2" s="17" t="s">
        <v>25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1:45" hidden="1" x14ac:dyDescent="0.2">
      <c r="A3" s="2"/>
      <c r="B3" s="2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idden="1" x14ac:dyDescent="0.2">
      <c r="A4" s="25" t="s">
        <v>26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 spans="1:45" hidden="1" x14ac:dyDescent="0.2">
      <c r="A5" s="25" t="s">
        <v>27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45" hidden="1" x14ac:dyDescent="0.2">
      <c r="A6" s="25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45" hidden="1" x14ac:dyDescent="0.2">
      <c r="A7" s="25" t="s">
        <v>29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spans="1:45" hidden="1" x14ac:dyDescent="0.2">
      <c r="A8" s="25" t="s">
        <v>30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spans="1:45" hidden="1" x14ac:dyDescent="0.2">
      <c r="A9" s="25" t="s">
        <v>31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spans="1:45" hidden="1" x14ac:dyDescent="0.2">
      <c r="A10" s="25" t="s">
        <v>32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spans="1:45" hidden="1" x14ac:dyDescent="0.2">
      <c r="A11" s="25" t="s">
        <v>33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spans="1:45" hidden="1" x14ac:dyDescent="0.2">
      <c r="A12" s="25" t="s">
        <v>34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spans="1:45" hidden="1" x14ac:dyDescent="0.2">
      <c r="A13" s="25" t="s">
        <v>35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idden="1" x14ac:dyDescent="0.2">
      <c r="A14" s="25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spans="1:45" hidden="1" x14ac:dyDescent="0.2">
      <c r="A15" s="25" t="s">
        <v>37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spans="1:45" hidden="1" x14ac:dyDescent="0.2">
      <c r="A16" s="25" t="s">
        <v>38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spans="1:45" hidden="1" x14ac:dyDescent="0.2">
      <c r="A17" s="25" t="s">
        <v>39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45" hidden="1" x14ac:dyDescent="0.2">
      <c r="A18" s="25" t="s">
        <v>40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45" hidden="1" x14ac:dyDescent="0.2">
      <c r="A19" s="25" t="s">
        <v>41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45" hidden="1" x14ac:dyDescent="0.2">
      <c r="A20" s="25" t="s">
        <v>42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45" hidden="1" x14ac:dyDescent="0.2">
      <c r="A21" s="25" t="s">
        <v>43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45" hidden="1" x14ac:dyDescent="0.2">
      <c r="A22" s="25" t="s">
        <v>44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45" hidden="1" x14ac:dyDescent="0.2">
      <c r="A23" s="25" t="s">
        <v>45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45" hidden="1" x14ac:dyDescent="0.2">
      <c r="A24" s="25" t="s">
        <v>46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45" hidden="1" x14ac:dyDescent="0.2">
      <c r="A25" s="25" t="s">
        <v>47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45" hidden="1" x14ac:dyDescent="0.2">
      <c r="A26" s="25" t="s">
        <v>48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45" hidden="1" x14ac:dyDescent="0.2">
      <c r="A27" s="25" t="s">
        <v>49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spans="1:45" hidden="1" x14ac:dyDescent="0.2">
      <c r="A28" s="2" t="s">
        <v>50</v>
      </c>
      <c r="B28" s="2">
        <f t="shared" ref="B28:K28" si="0">SUM(B4:B27)</f>
        <v>0</v>
      </c>
      <c r="C28" s="2">
        <f t="shared" si="0"/>
        <v>0</v>
      </c>
      <c r="D28" s="2">
        <f t="shared" si="0"/>
        <v>0</v>
      </c>
      <c r="E28" s="2">
        <f t="shared" si="0"/>
        <v>0</v>
      </c>
      <c r="F28" s="2">
        <f t="shared" si="0"/>
        <v>0</v>
      </c>
      <c r="G28" s="30">
        <f t="shared" si="0"/>
        <v>0</v>
      </c>
      <c r="H28" s="30">
        <f t="shared" si="0"/>
        <v>0</v>
      </c>
      <c r="I28" s="30">
        <f t="shared" si="0"/>
        <v>0</v>
      </c>
      <c r="J28" s="30">
        <f t="shared" si="0"/>
        <v>0</v>
      </c>
      <c r="K28" s="30">
        <f t="shared" si="0"/>
        <v>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idden="1" x14ac:dyDescent="0.2">
      <c r="A29" s="2" t="s">
        <v>51</v>
      </c>
      <c r="B29" s="30">
        <f t="shared" ref="B29:K29" si="1">SUM(B4:B27)</f>
        <v>0</v>
      </c>
      <c r="C29" s="30">
        <f t="shared" si="1"/>
        <v>0</v>
      </c>
      <c r="D29" s="30">
        <f t="shared" si="1"/>
        <v>0</v>
      </c>
      <c r="E29" s="30">
        <f t="shared" si="1"/>
        <v>0</v>
      </c>
      <c r="F29" s="30">
        <f t="shared" si="1"/>
        <v>0</v>
      </c>
      <c r="G29" s="30">
        <f t="shared" si="1"/>
        <v>0</v>
      </c>
      <c r="H29" s="30">
        <f t="shared" si="1"/>
        <v>0</v>
      </c>
      <c r="I29" s="30">
        <f t="shared" si="1"/>
        <v>0</v>
      </c>
      <c r="J29" s="30">
        <f t="shared" si="1"/>
        <v>0</v>
      </c>
      <c r="K29" s="30">
        <f t="shared" si="1"/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hidden="1" x14ac:dyDescent="0.2">
      <c r="A30" s="2" t="s">
        <v>52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hidden="1" x14ac:dyDescent="0.2">
      <c r="C31" s="69" t="s">
        <v>50</v>
      </c>
      <c r="D31" s="69"/>
      <c r="U31" s="13"/>
    </row>
    <row r="32" spans="1:45" ht="26.4" customHeight="1" x14ac:dyDescent="0.2">
      <c r="C32" s="33" t="s">
        <v>7</v>
      </c>
      <c r="D32" s="34" t="s">
        <v>10</v>
      </c>
      <c r="U32" s="13"/>
    </row>
    <row r="33" spans="1:21" x14ac:dyDescent="0.2">
      <c r="A33" s="46"/>
      <c r="B33" s="46" t="s">
        <v>50</v>
      </c>
      <c r="C33" s="14" t="e">
        <f>SUM(#REF!)</f>
        <v>#REF!</v>
      </c>
      <c r="D33" s="14" t="e">
        <f>SUM(#REF!)</f>
        <v>#REF!</v>
      </c>
      <c r="F33" s="9"/>
      <c r="G33" s="9"/>
      <c r="I33" s="9"/>
      <c r="J33" s="9"/>
      <c r="K33" s="9"/>
      <c r="L33" s="9"/>
      <c r="M33" s="9"/>
      <c r="N33" s="9"/>
      <c r="U33" s="13"/>
    </row>
    <row r="34" spans="1:21" x14ac:dyDescent="0.2">
      <c r="C34" s="68" t="s">
        <v>53</v>
      </c>
      <c r="D34" s="6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U34" s="13"/>
    </row>
    <row r="35" spans="1:21" ht="26.4" customHeight="1" x14ac:dyDescent="0.2">
      <c r="A35" t="s">
        <v>54</v>
      </c>
      <c r="B35" s="48" t="s">
        <v>55</v>
      </c>
      <c r="C35" s="36" t="s">
        <v>56</v>
      </c>
      <c r="D35" s="34" t="s">
        <v>57</v>
      </c>
      <c r="F35" s="44"/>
      <c r="G35" s="34"/>
      <c r="H35" s="34"/>
      <c r="I35" s="11"/>
      <c r="J35" s="11"/>
      <c r="K35" s="11"/>
      <c r="L35" s="11"/>
      <c r="M35" s="11"/>
      <c r="N35" s="11"/>
      <c r="T35" s="6"/>
      <c r="U35" s="13"/>
    </row>
    <row r="36" spans="1:21" x14ac:dyDescent="0.2">
      <c r="A36" t="s">
        <v>58</v>
      </c>
      <c r="B36" s="26" t="s">
        <v>26</v>
      </c>
      <c r="D36" s="35"/>
      <c r="E36" s="35"/>
      <c r="R36" s="6"/>
      <c r="S36" s="13"/>
      <c r="T36" s="13"/>
      <c r="U36" s="13"/>
    </row>
    <row r="37" spans="1:21" x14ac:dyDescent="0.2">
      <c r="A37" t="s">
        <v>59</v>
      </c>
      <c r="B37" s="26" t="s">
        <v>27</v>
      </c>
      <c r="D37" s="35"/>
      <c r="E37" s="35"/>
      <c r="R37" s="6"/>
      <c r="S37" s="13"/>
      <c r="T37" s="13"/>
      <c r="U37" s="13"/>
    </row>
    <row r="38" spans="1:21" x14ac:dyDescent="0.2">
      <c r="A38" t="s">
        <v>60</v>
      </c>
      <c r="B38" s="26" t="s">
        <v>28</v>
      </c>
      <c r="D38" s="35"/>
      <c r="E38" s="35"/>
      <c r="R38" s="6"/>
      <c r="S38" s="13"/>
      <c r="T38" s="13"/>
      <c r="U38" s="13"/>
    </row>
    <row r="39" spans="1:21" x14ac:dyDescent="0.2">
      <c r="A39" t="s">
        <v>61</v>
      </c>
      <c r="B39" s="26" t="s">
        <v>29</v>
      </c>
      <c r="D39" s="35"/>
      <c r="E39" s="35"/>
      <c r="R39" s="6"/>
      <c r="S39" s="13"/>
      <c r="T39" s="13"/>
      <c r="U39" s="13"/>
    </row>
    <row r="40" spans="1:21" x14ac:dyDescent="0.2">
      <c r="A40" t="s">
        <v>62</v>
      </c>
      <c r="B40" s="26" t="s">
        <v>63</v>
      </c>
      <c r="D40" s="35"/>
      <c r="E40" s="35"/>
      <c r="R40" s="6"/>
      <c r="S40" s="13"/>
      <c r="T40" s="13"/>
      <c r="U40" s="13"/>
    </row>
    <row r="41" spans="1:21" x14ac:dyDescent="0.2">
      <c r="A41" t="s">
        <v>64</v>
      </c>
      <c r="B41" s="26" t="s">
        <v>31</v>
      </c>
      <c r="D41" s="35"/>
      <c r="E41" s="35"/>
      <c r="R41" s="6"/>
      <c r="S41" s="13"/>
      <c r="T41" s="13"/>
      <c r="U41" s="13"/>
    </row>
    <row r="42" spans="1:21" x14ac:dyDescent="0.2">
      <c r="A42" t="s">
        <v>65</v>
      </c>
      <c r="B42" s="26" t="s">
        <v>32</v>
      </c>
      <c r="D42" s="35"/>
      <c r="E42" s="35"/>
      <c r="R42" s="6"/>
      <c r="S42" s="13"/>
      <c r="T42" s="13"/>
      <c r="U42" s="13"/>
    </row>
    <row r="43" spans="1:21" x14ac:dyDescent="0.2">
      <c r="A43" t="s">
        <v>66</v>
      </c>
      <c r="B43" s="26" t="s">
        <v>33</v>
      </c>
      <c r="D43" s="35"/>
      <c r="E43" s="35"/>
      <c r="R43" s="6"/>
      <c r="S43" s="13"/>
      <c r="T43" s="13"/>
      <c r="U43" s="13"/>
    </row>
    <row r="44" spans="1:21" x14ac:dyDescent="0.2">
      <c r="A44" t="s">
        <v>67</v>
      </c>
      <c r="B44" s="26" t="s">
        <v>34</v>
      </c>
      <c r="D44" s="35"/>
      <c r="E44" s="35"/>
      <c r="R44" s="6"/>
      <c r="S44" s="13"/>
      <c r="T44" s="13"/>
      <c r="U44" s="13"/>
    </row>
    <row r="45" spans="1:21" x14ac:dyDescent="0.2">
      <c r="A45" t="s">
        <v>68</v>
      </c>
      <c r="B45" s="26" t="s">
        <v>35</v>
      </c>
      <c r="D45" s="35"/>
      <c r="E45" s="35"/>
      <c r="R45" s="6"/>
      <c r="S45" s="13"/>
      <c r="T45" s="13"/>
      <c r="U45" s="13"/>
    </row>
    <row r="46" spans="1:21" x14ac:dyDescent="0.2">
      <c r="A46" t="s">
        <v>69</v>
      </c>
      <c r="B46" s="26" t="s">
        <v>36</v>
      </c>
      <c r="D46" s="35"/>
      <c r="E46" s="35"/>
      <c r="R46" s="6"/>
      <c r="S46" s="13"/>
      <c r="T46" s="13"/>
      <c r="U46" s="13"/>
    </row>
    <row r="47" spans="1:21" x14ac:dyDescent="0.2">
      <c r="A47" t="s">
        <v>70</v>
      </c>
      <c r="B47" s="26" t="s">
        <v>37</v>
      </c>
      <c r="D47" s="35"/>
      <c r="E47" s="35"/>
      <c r="R47" s="6"/>
      <c r="S47" s="13"/>
      <c r="T47" s="13"/>
      <c r="U47" s="13"/>
    </row>
    <row r="48" spans="1:21" x14ac:dyDescent="0.2">
      <c r="A48" t="s">
        <v>71</v>
      </c>
      <c r="B48" s="26" t="s">
        <v>38</v>
      </c>
      <c r="D48" s="35"/>
      <c r="E48" s="35"/>
      <c r="R48" s="6"/>
      <c r="S48" s="13"/>
      <c r="T48" s="13"/>
      <c r="U48" s="13"/>
    </row>
    <row r="49" spans="1:21" x14ac:dyDescent="0.2">
      <c r="A49" t="s">
        <v>72</v>
      </c>
      <c r="B49" s="26" t="s">
        <v>39</v>
      </c>
      <c r="D49" s="35"/>
      <c r="E49" s="35"/>
      <c r="R49" s="6"/>
      <c r="S49" s="13"/>
      <c r="T49" s="13"/>
      <c r="U49" s="13"/>
    </row>
    <row r="50" spans="1:21" x14ac:dyDescent="0.2">
      <c r="A50" t="s">
        <v>73</v>
      </c>
      <c r="B50" s="26" t="s">
        <v>40</v>
      </c>
      <c r="D50" s="35"/>
      <c r="E50" s="35"/>
      <c r="R50" s="6"/>
      <c r="S50" s="13"/>
      <c r="T50" s="13"/>
      <c r="U50" s="13"/>
    </row>
    <row r="51" spans="1:21" x14ac:dyDescent="0.2">
      <c r="A51" t="s">
        <v>74</v>
      </c>
      <c r="B51" s="26" t="s">
        <v>41</v>
      </c>
      <c r="D51" s="35"/>
      <c r="E51" s="35"/>
      <c r="R51" s="6"/>
      <c r="S51" s="13"/>
      <c r="T51" s="13"/>
      <c r="U51" s="13"/>
    </row>
    <row r="52" spans="1:21" x14ac:dyDescent="0.2">
      <c r="A52" t="s">
        <v>75</v>
      </c>
      <c r="B52" s="26" t="s">
        <v>42</v>
      </c>
      <c r="D52" s="35"/>
      <c r="E52" s="35"/>
      <c r="R52" s="6"/>
      <c r="S52" s="13"/>
      <c r="T52" s="13"/>
      <c r="U52" s="13"/>
    </row>
    <row r="53" spans="1:21" x14ac:dyDescent="0.2">
      <c r="A53" t="s">
        <v>76</v>
      </c>
      <c r="B53" s="26" t="s">
        <v>43</v>
      </c>
      <c r="D53" s="35"/>
      <c r="E53" s="35"/>
      <c r="R53" s="6"/>
      <c r="S53" s="13"/>
      <c r="T53" s="13"/>
      <c r="U53" s="13"/>
    </row>
    <row r="54" spans="1:21" x14ac:dyDescent="0.2">
      <c r="A54" t="s">
        <v>77</v>
      </c>
      <c r="B54" s="26" t="s">
        <v>44</v>
      </c>
      <c r="D54" s="35"/>
      <c r="E54" s="35"/>
      <c r="R54" s="6"/>
      <c r="S54" s="13"/>
      <c r="T54" s="13"/>
      <c r="U54" s="13"/>
    </row>
    <row r="55" spans="1:21" x14ac:dyDescent="0.2">
      <c r="A55" t="s">
        <v>78</v>
      </c>
      <c r="B55" s="26" t="s">
        <v>45</v>
      </c>
      <c r="D55" s="35"/>
      <c r="E55" s="35"/>
      <c r="R55" s="6"/>
      <c r="S55" s="13"/>
      <c r="T55" s="13"/>
      <c r="U55" s="13"/>
    </row>
    <row r="56" spans="1:21" x14ac:dyDescent="0.2">
      <c r="A56" t="s">
        <v>79</v>
      </c>
      <c r="B56" s="26" t="s">
        <v>46</v>
      </c>
      <c r="D56" s="35"/>
      <c r="E56" s="35"/>
      <c r="R56" s="6"/>
      <c r="S56" s="13"/>
      <c r="T56" s="13"/>
      <c r="U56" s="13"/>
    </row>
    <row r="57" spans="1:21" x14ac:dyDescent="0.2">
      <c r="A57" t="s">
        <v>80</v>
      </c>
      <c r="B57" s="26" t="s">
        <v>47</v>
      </c>
      <c r="D57" s="35"/>
      <c r="E57" s="35"/>
      <c r="R57" s="6"/>
      <c r="S57" s="13"/>
      <c r="T57" s="13"/>
      <c r="U57" s="13"/>
    </row>
    <row r="58" spans="1:21" x14ac:dyDescent="0.2">
      <c r="A58" t="s">
        <v>81</v>
      </c>
      <c r="B58" s="26" t="s">
        <v>48</v>
      </c>
      <c r="D58" s="35"/>
      <c r="E58" s="35"/>
      <c r="R58" s="6"/>
      <c r="S58" s="13"/>
      <c r="T58" s="13"/>
      <c r="U58" s="13"/>
    </row>
    <row r="59" spans="1:21" x14ac:dyDescent="0.2">
      <c r="A59" t="s">
        <v>82</v>
      </c>
      <c r="B59" s="26" t="s">
        <v>83</v>
      </c>
      <c r="D59" s="35"/>
      <c r="E59" s="35"/>
      <c r="R59" s="6"/>
      <c r="S59" s="13"/>
      <c r="T59" s="13"/>
      <c r="U59" s="13"/>
    </row>
    <row r="60" spans="1:21" x14ac:dyDescent="0.2">
      <c r="C60" s="27"/>
      <c r="U60" s="13"/>
    </row>
    <row r="61" spans="1:21" x14ac:dyDescent="0.2">
      <c r="U61" s="13"/>
    </row>
    <row r="62" spans="1:21" x14ac:dyDescent="0.2">
      <c r="U62" s="13"/>
    </row>
  </sheetData>
  <mergeCells count="2">
    <mergeCell ref="C34:D34"/>
    <mergeCell ref="C31:D31"/>
  </mergeCells>
  <phoneticPr fontId="4"/>
  <pageMargins left="0.75" right="0.75" top="1" bottom="1" header="0.51200000000000001" footer="0.51200000000000001"/>
  <pageSetup paperSize="9" scale="51" orientation="landscape" r:id="rId1"/>
  <rowBreaks count="1" manualBreakCount="1">
    <brk id="30" max="11" man="1"/>
  </rowBreaks>
  <colBreaks count="1" manualBreakCount="1">
    <brk id="15" max="5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workbookViewId="0">
      <selection activeCell="E2" sqref="E2:J85"/>
    </sheetView>
  </sheetViews>
  <sheetFormatPr defaultRowHeight="13.2" x14ac:dyDescent="0.2"/>
  <sheetData>
    <row r="1" spans="1:10" x14ac:dyDescent="0.2">
      <c r="A1" s="49" t="s">
        <v>84</v>
      </c>
      <c r="B1" s="49" t="s">
        <v>85</v>
      </c>
      <c r="C1" s="49" t="s">
        <v>86</v>
      </c>
      <c r="D1" s="49" t="s">
        <v>87</v>
      </c>
      <c r="E1" s="49" t="s">
        <v>25</v>
      </c>
      <c r="F1" s="49" t="s">
        <v>88</v>
      </c>
      <c r="G1" s="49" t="s">
        <v>89</v>
      </c>
      <c r="H1" s="49" t="s">
        <v>90</v>
      </c>
      <c r="I1" s="49" t="s">
        <v>91</v>
      </c>
      <c r="J1" s="49" t="s">
        <v>92</v>
      </c>
    </row>
    <row r="2" spans="1:10" x14ac:dyDescent="0.2">
      <c r="A2">
        <v>2025</v>
      </c>
      <c r="B2">
        <v>9</v>
      </c>
      <c r="C2">
        <v>21</v>
      </c>
      <c r="D2">
        <v>9</v>
      </c>
    </row>
    <row r="3" spans="1:10" x14ac:dyDescent="0.2">
      <c r="A3">
        <v>2025</v>
      </c>
      <c r="B3">
        <v>9</v>
      </c>
      <c r="C3">
        <v>21</v>
      </c>
      <c r="D3">
        <v>10</v>
      </c>
    </row>
    <row r="4" spans="1:10" x14ac:dyDescent="0.2">
      <c r="A4">
        <v>2025</v>
      </c>
      <c r="B4">
        <v>9</v>
      </c>
      <c r="C4">
        <v>21</v>
      </c>
      <c r="D4">
        <v>11</v>
      </c>
    </row>
    <row r="5" spans="1:10" x14ac:dyDescent="0.2">
      <c r="A5">
        <v>2025</v>
      </c>
      <c r="B5">
        <v>9</v>
      </c>
      <c r="C5">
        <v>21</v>
      </c>
      <c r="D5">
        <v>12</v>
      </c>
    </row>
    <row r="6" spans="1:10" x14ac:dyDescent="0.2">
      <c r="A6">
        <v>2025</v>
      </c>
      <c r="B6">
        <v>9</v>
      </c>
      <c r="C6">
        <v>21</v>
      </c>
      <c r="D6">
        <v>13</v>
      </c>
    </row>
    <row r="7" spans="1:10" x14ac:dyDescent="0.2">
      <c r="A7">
        <v>2025</v>
      </c>
      <c r="B7">
        <v>9</v>
      </c>
      <c r="C7">
        <v>21</v>
      </c>
      <c r="D7">
        <v>14</v>
      </c>
    </row>
    <row r="8" spans="1:10" x14ac:dyDescent="0.2">
      <c r="A8">
        <v>2025</v>
      </c>
      <c r="B8">
        <v>9</v>
      </c>
      <c r="C8">
        <v>21</v>
      </c>
      <c r="D8">
        <v>15</v>
      </c>
    </row>
    <row r="9" spans="1:10" x14ac:dyDescent="0.2">
      <c r="A9">
        <v>2025</v>
      </c>
      <c r="B9">
        <v>9</v>
      </c>
      <c r="C9">
        <v>21</v>
      </c>
      <c r="D9">
        <v>16</v>
      </c>
    </row>
    <row r="10" spans="1:10" x14ac:dyDescent="0.2">
      <c r="A10">
        <v>2025</v>
      </c>
      <c r="B10">
        <v>9</v>
      </c>
      <c r="C10">
        <v>21</v>
      </c>
      <c r="D10">
        <v>17</v>
      </c>
    </row>
    <row r="11" spans="1:10" x14ac:dyDescent="0.2">
      <c r="A11">
        <v>2025</v>
      </c>
      <c r="B11">
        <v>9</v>
      </c>
      <c r="C11">
        <v>21</v>
      </c>
      <c r="D11">
        <v>18</v>
      </c>
    </row>
    <row r="12" spans="1:10" x14ac:dyDescent="0.2">
      <c r="A12">
        <v>2025</v>
      </c>
      <c r="B12">
        <v>9</v>
      </c>
      <c r="C12">
        <v>21</v>
      </c>
      <c r="D12">
        <v>19</v>
      </c>
    </row>
    <row r="13" spans="1:10" x14ac:dyDescent="0.2">
      <c r="A13">
        <v>2025</v>
      </c>
      <c r="B13">
        <v>9</v>
      </c>
      <c r="C13">
        <v>21</v>
      </c>
      <c r="D13">
        <v>20</v>
      </c>
    </row>
    <row r="14" spans="1:10" x14ac:dyDescent="0.2">
      <c r="A14">
        <v>2025</v>
      </c>
      <c r="B14">
        <v>9</v>
      </c>
      <c r="C14">
        <v>21</v>
      </c>
      <c r="D14">
        <v>21</v>
      </c>
    </row>
    <row r="15" spans="1:10" x14ac:dyDescent="0.2">
      <c r="A15">
        <v>2025</v>
      </c>
      <c r="B15">
        <v>9</v>
      </c>
      <c r="C15">
        <v>21</v>
      </c>
      <c r="D15">
        <v>22</v>
      </c>
    </row>
    <row r="16" spans="1:10" x14ac:dyDescent="0.2">
      <c r="A16">
        <v>2025</v>
      </c>
      <c r="B16">
        <v>9</v>
      </c>
      <c r="C16">
        <v>22</v>
      </c>
      <c r="D16">
        <v>9</v>
      </c>
    </row>
    <row r="17" spans="1:4" x14ac:dyDescent="0.2">
      <c r="A17">
        <v>2025</v>
      </c>
      <c r="B17">
        <v>9</v>
      </c>
      <c r="C17">
        <v>22</v>
      </c>
      <c r="D17">
        <v>10</v>
      </c>
    </row>
    <row r="18" spans="1:4" x14ac:dyDescent="0.2">
      <c r="A18">
        <v>2025</v>
      </c>
      <c r="B18">
        <v>9</v>
      </c>
      <c r="C18">
        <v>22</v>
      </c>
      <c r="D18">
        <v>11</v>
      </c>
    </row>
    <row r="19" spans="1:4" x14ac:dyDescent="0.2">
      <c r="A19">
        <v>2025</v>
      </c>
      <c r="B19">
        <v>9</v>
      </c>
      <c r="C19">
        <v>22</v>
      </c>
      <c r="D19">
        <v>12</v>
      </c>
    </row>
    <row r="20" spans="1:4" x14ac:dyDescent="0.2">
      <c r="A20">
        <v>2025</v>
      </c>
      <c r="B20">
        <v>9</v>
      </c>
      <c r="C20">
        <v>22</v>
      </c>
      <c r="D20">
        <v>13</v>
      </c>
    </row>
    <row r="21" spans="1:4" x14ac:dyDescent="0.2">
      <c r="A21">
        <v>2025</v>
      </c>
      <c r="B21">
        <v>9</v>
      </c>
      <c r="C21">
        <v>22</v>
      </c>
      <c r="D21">
        <v>14</v>
      </c>
    </row>
    <row r="22" spans="1:4" x14ac:dyDescent="0.2">
      <c r="A22">
        <v>2025</v>
      </c>
      <c r="B22">
        <v>9</v>
      </c>
      <c r="C22">
        <v>22</v>
      </c>
      <c r="D22">
        <v>15</v>
      </c>
    </row>
    <row r="23" spans="1:4" x14ac:dyDescent="0.2">
      <c r="A23">
        <v>2025</v>
      </c>
      <c r="B23">
        <v>9</v>
      </c>
      <c r="C23">
        <v>22</v>
      </c>
      <c r="D23">
        <v>16</v>
      </c>
    </row>
    <row r="24" spans="1:4" x14ac:dyDescent="0.2">
      <c r="A24">
        <v>2025</v>
      </c>
      <c r="B24">
        <v>9</v>
      </c>
      <c r="C24">
        <v>22</v>
      </c>
      <c r="D24">
        <v>17</v>
      </c>
    </row>
    <row r="25" spans="1:4" x14ac:dyDescent="0.2">
      <c r="A25">
        <v>2025</v>
      </c>
      <c r="B25">
        <v>9</v>
      </c>
      <c r="C25">
        <v>22</v>
      </c>
      <c r="D25">
        <v>18</v>
      </c>
    </row>
    <row r="26" spans="1:4" x14ac:dyDescent="0.2">
      <c r="A26">
        <v>2025</v>
      </c>
      <c r="B26">
        <v>9</v>
      </c>
      <c r="C26">
        <v>22</v>
      </c>
      <c r="D26">
        <v>19</v>
      </c>
    </row>
    <row r="27" spans="1:4" x14ac:dyDescent="0.2">
      <c r="A27">
        <v>2025</v>
      </c>
      <c r="B27">
        <v>9</v>
      </c>
      <c r="C27">
        <v>22</v>
      </c>
      <c r="D27">
        <v>20</v>
      </c>
    </row>
    <row r="28" spans="1:4" x14ac:dyDescent="0.2">
      <c r="A28">
        <v>2025</v>
      </c>
      <c r="B28">
        <v>9</v>
      </c>
      <c r="C28">
        <v>22</v>
      </c>
      <c r="D28">
        <v>21</v>
      </c>
    </row>
    <row r="29" spans="1:4" x14ac:dyDescent="0.2">
      <c r="A29">
        <v>2025</v>
      </c>
      <c r="B29">
        <v>9</v>
      </c>
      <c r="C29">
        <v>22</v>
      </c>
      <c r="D29">
        <v>22</v>
      </c>
    </row>
    <row r="30" spans="1:4" x14ac:dyDescent="0.2">
      <c r="A30">
        <v>2025</v>
      </c>
      <c r="B30">
        <v>9</v>
      </c>
      <c r="C30">
        <v>23</v>
      </c>
      <c r="D30">
        <v>9</v>
      </c>
    </row>
    <row r="31" spans="1:4" x14ac:dyDescent="0.2">
      <c r="A31">
        <v>2025</v>
      </c>
      <c r="B31">
        <v>9</v>
      </c>
      <c r="C31">
        <v>23</v>
      </c>
      <c r="D31">
        <v>10</v>
      </c>
    </row>
    <row r="32" spans="1:4" x14ac:dyDescent="0.2">
      <c r="A32">
        <v>2025</v>
      </c>
      <c r="B32">
        <v>9</v>
      </c>
      <c r="C32">
        <v>23</v>
      </c>
      <c r="D32">
        <v>11</v>
      </c>
    </row>
    <row r="33" spans="1:4" x14ac:dyDescent="0.2">
      <c r="A33">
        <v>2025</v>
      </c>
      <c r="B33">
        <v>9</v>
      </c>
      <c r="C33">
        <v>23</v>
      </c>
      <c r="D33">
        <v>12</v>
      </c>
    </row>
    <row r="34" spans="1:4" x14ac:dyDescent="0.2">
      <c r="A34">
        <v>2025</v>
      </c>
      <c r="B34">
        <v>9</v>
      </c>
      <c r="C34">
        <v>23</v>
      </c>
      <c r="D34">
        <v>13</v>
      </c>
    </row>
    <row r="35" spans="1:4" x14ac:dyDescent="0.2">
      <c r="A35">
        <v>2025</v>
      </c>
      <c r="B35">
        <v>9</v>
      </c>
      <c r="C35">
        <v>23</v>
      </c>
      <c r="D35">
        <v>14</v>
      </c>
    </row>
    <row r="36" spans="1:4" x14ac:dyDescent="0.2">
      <c r="A36">
        <v>2025</v>
      </c>
      <c r="B36">
        <v>9</v>
      </c>
      <c r="C36">
        <v>23</v>
      </c>
      <c r="D36">
        <v>15</v>
      </c>
    </row>
    <row r="37" spans="1:4" x14ac:dyDescent="0.2">
      <c r="A37">
        <v>2025</v>
      </c>
      <c r="B37">
        <v>9</v>
      </c>
      <c r="C37">
        <v>23</v>
      </c>
      <c r="D37">
        <v>16</v>
      </c>
    </row>
    <row r="38" spans="1:4" x14ac:dyDescent="0.2">
      <c r="A38">
        <v>2025</v>
      </c>
      <c r="B38">
        <v>9</v>
      </c>
      <c r="C38">
        <v>23</v>
      </c>
      <c r="D38">
        <v>17</v>
      </c>
    </row>
    <row r="39" spans="1:4" x14ac:dyDescent="0.2">
      <c r="A39">
        <v>2025</v>
      </c>
      <c r="B39">
        <v>9</v>
      </c>
      <c r="C39">
        <v>23</v>
      </c>
      <c r="D39">
        <v>18</v>
      </c>
    </row>
    <row r="40" spans="1:4" x14ac:dyDescent="0.2">
      <c r="A40">
        <v>2025</v>
      </c>
      <c r="B40">
        <v>9</v>
      </c>
      <c r="C40">
        <v>23</v>
      </c>
      <c r="D40">
        <v>19</v>
      </c>
    </row>
    <row r="41" spans="1:4" x14ac:dyDescent="0.2">
      <c r="A41">
        <v>2025</v>
      </c>
      <c r="B41">
        <v>9</v>
      </c>
      <c r="C41">
        <v>23</v>
      </c>
      <c r="D41">
        <v>20</v>
      </c>
    </row>
    <row r="42" spans="1:4" x14ac:dyDescent="0.2">
      <c r="A42">
        <v>2025</v>
      </c>
      <c r="B42">
        <v>9</v>
      </c>
      <c r="C42">
        <v>23</v>
      </c>
      <c r="D42">
        <v>21</v>
      </c>
    </row>
    <row r="43" spans="1:4" x14ac:dyDescent="0.2">
      <c r="A43">
        <v>2025</v>
      </c>
      <c r="B43">
        <v>9</v>
      </c>
      <c r="C43">
        <v>23</v>
      </c>
      <c r="D43">
        <v>22</v>
      </c>
    </row>
    <row r="44" spans="1:4" x14ac:dyDescent="0.2">
      <c r="A44">
        <v>2025</v>
      </c>
      <c r="B44">
        <v>9</v>
      </c>
      <c r="C44">
        <v>24</v>
      </c>
      <c r="D44">
        <v>9</v>
      </c>
    </row>
    <row r="45" spans="1:4" x14ac:dyDescent="0.2">
      <c r="A45">
        <v>2025</v>
      </c>
      <c r="B45">
        <v>9</v>
      </c>
      <c r="C45">
        <v>24</v>
      </c>
      <c r="D45">
        <v>10</v>
      </c>
    </row>
    <row r="46" spans="1:4" x14ac:dyDescent="0.2">
      <c r="A46">
        <v>2025</v>
      </c>
      <c r="B46">
        <v>9</v>
      </c>
      <c r="C46">
        <v>24</v>
      </c>
      <c r="D46">
        <v>11</v>
      </c>
    </row>
    <row r="47" spans="1:4" x14ac:dyDescent="0.2">
      <c r="A47">
        <v>2025</v>
      </c>
      <c r="B47">
        <v>9</v>
      </c>
      <c r="C47">
        <v>24</v>
      </c>
      <c r="D47">
        <v>12</v>
      </c>
    </row>
    <row r="48" spans="1:4" x14ac:dyDescent="0.2">
      <c r="A48">
        <v>2025</v>
      </c>
      <c r="B48">
        <v>9</v>
      </c>
      <c r="C48">
        <v>24</v>
      </c>
      <c r="D48">
        <v>13</v>
      </c>
    </row>
    <row r="49" spans="1:4" x14ac:dyDescent="0.2">
      <c r="A49">
        <v>2025</v>
      </c>
      <c r="B49">
        <v>9</v>
      </c>
      <c r="C49">
        <v>24</v>
      </c>
      <c r="D49">
        <v>14</v>
      </c>
    </row>
    <row r="50" spans="1:4" x14ac:dyDescent="0.2">
      <c r="A50">
        <v>2025</v>
      </c>
      <c r="B50">
        <v>9</v>
      </c>
      <c r="C50">
        <v>24</v>
      </c>
      <c r="D50">
        <v>15</v>
      </c>
    </row>
    <row r="51" spans="1:4" x14ac:dyDescent="0.2">
      <c r="A51">
        <v>2025</v>
      </c>
      <c r="B51">
        <v>9</v>
      </c>
      <c r="C51">
        <v>24</v>
      </c>
      <c r="D51">
        <v>16</v>
      </c>
    </row>
    <row r="52" spans="1:4" x14ac:dyDescent="0.2">
      <c r="A52">
        <v>2025</v>
      </c>
      <c r="B52">
        <v>9</v>
      </c>
      <c r="C52">
        <v>24</v>
      </c>
      <c r="D52">
        <v>17</v>
      </c>
    </row>
    <row r="53" spans="1:4" x14ac:dyDescent="0.2">
      <c r="A53">
        <v>2025</v>
      </c>
      <c r="B53">
        <v>9</v>
      </c>
      <c r="C53">
        <v>24</v>
      </c>
      <c r="D53">
        <v>18</v>
      </c>
    </row>
    <row r="54" spans="1:4" x14ac:dyDescent="0.2">
      <c r="A54">
        <v>2025</v>
      </c>
      <c r="B54">
        <v>9</v>
      </c>
      <c r="C54">
        <v>24</v>
      </c>
      <c r="D54">
        <v>19</v>
      </c>
    </row>
    <row r="55" spans="1:4" x14ac:dyDescent="0.2">
      <c r="A55">
        <v>2025</v>
      </c>
      <c r="B55">
        <v>9</v>
      </c>
      <c r="C55">
        <v>24</v>
      </c>
      <c r="D55">
        <v>20</v>
      </c>
    </row>
    <row r="56" spans="1:4" x14ac:dyDescent="0.2">
      <c r="A56">
        <v>2025</v>
      </c>
      <c r="B56">
        <v>9</v>
      </c>
      <c r="C56">
        <v>24</v>
      </c>
      <c r="D56">
        <v>21</v>
      </c>
    </row>
    <row r="57" spans="1:4" x14ac:dyDescent="0.2">
      <c r="A57">
        <v>2025</v>
      </c>
      <c r="B57">
        <v>9</v>
      </c>
      <c r="C57">
        <v>24</v>
      </c>
      <c r="D57">
        <v>22</v>
      </c>
    </row>
    <row r="58" spans="1:4" x14ac:dyDescent="0.2">
      <c r="A58">
        <v>2025</v>
      </c>
      <c r="B58">
        <v>9</v>
      </c>
      <c r="C58">
        <v>25</v>
      </c>
      <c r="D58">
        <v>9</v>
      </c>
    </row>
    <row r="59" spans="1:4" x14ac:dyDescent="0.2">
      <c r="A59">
        <v>2025</v>
      </c>
      <c r="B59">
        <v>9</v>
      </c>
      <c r="C59">
        <v>25</v>
      </c>
      <c r="D59">
        <v>10</v>
      </c>
    </row>
    <row r="60" spans="1:4" x14ac:dyDescent="0.2">
      <c r="A60">
        <v>2025</v>
      </c>
      <c r="B60">
        <v>9</v>
      </c>
      <c r="C60">
        <v>25</v>
      </c>
      <c r="D60">
        <v>11</v>
      </c>
    </row>
    <row r="61" spans="1:4" x14ac:dyDescent="0.2">
      <c r="A61">
        <v>2025</v>
      </c>
      <c r="B61">
        <v>9</v>
      </c>
      <c r="C61">
        <v>25</v>
      </c>
      <c r="D61">
        <v>12</v>
      </c>
    </row>
    <row r="62" spans="1:4" x14ac:dyDescent="0.2">
      <c r="A62">
        <v>2025</v>
      </c>
      <c r="B62">
        <v>9</v>
      </c>
      <c r="C62">
        <v>25</v>
      </c>
      <c r="D62">
        <v>13</v>
      </c>
    </row>
    <row r="63" spans="1:4" x14ac:dyDescent="0.2">
      <c r="A63">
        <v>2025</v>
      </c>
      <c r="B63">
        <v>9</v>
      </c>
      <c r="C63">
        <v>25</v>
      </c>
      <c r="D63">
        <v>14</v>
      </c>
    </row>
    <row r="64" spans="1:4" x14ac:dyDescent="0.2">
      <c r="A64">
        <v>2025</v>
      </c>
      <c r="B64">
        <v>9</v>
      </c>
      <c r="C64">
        <v>25</v>
      </c>
      <c r="D64">
        <v>15</v>
      </c>
    </row>
    <row r="65" spans="1:4" x14ac:dyDescent="0.2">
      <c r="A65">
        <v>2025</v>
      </c>
      <c r="B65">
        <v>9</v>
      </c>
      <c r="C65">
        <v>25</v>
      </c>
      <c r="D65">
        <v>16</v>
      </c>
    </row>
    <row r="66" spans="1:4" x14ac:dyDescent="0.2">
      <c r="A66">
        <v>2025</v>
      </c>
      <c r="B66">
        <v>9</v>
      </c>
      <c r="C66">
        <v>25</v>
      </c>
      <c r="D66">
        <v>17</v>
      </c>
    </row>
    <row r="67" spans="1:4" x14ac:dyDescent="0.2">
      <c r="A67">
        <v>2025</v>
      </c>
      <c r="B67">
        <v>9</v>
      </c>
      <c r="C67">
        <v>25</v>
      </c>
      <c r="D67">
        <v>18</v>
      </c>
    </row>
    <row r="68" spans="1:4" x14ac:dyDescent="0.2">
      <c r="A68">
        <v>2025</v>
      </c>
      <c r="B68">
        <v>9</v>
      </c>
      <c r="C68">
        <v>25</v>
      </c>
      <c r="D68">
        <v>19</v>
      </c>
    </row>
    <row r="69" spans="1:4" x14ac:dyDescent="0.2">
      <c r="A69">
        <v>2025</v>
      </c>
      <c r="B69">
        <v>9</v>
      </c>
      <c r="C69">
        <v>25</v>
      </c>
      <c r="D69">
        <v>20</v>
      </c>
    </row>
    <row r="70" spans="1:4" x14ac:dyDescent="0.2">
      <c r="A70">
        <v>2025</v>
      </c>
      <c r="B70">
        <v>9</v>
      </c>
      <c r="C70">
        <v>25</v>
      </c>
      <c r="D70">
        <v>21</v>
      </c>
    </row>
    <row r="71" spans="1:4" x14ac:dyDescent="0.2">
      <c r="A71">
        <v>2025</v>
      </c>
      <c r="B71">
        <v>9</v>
      </c>
      <c r="C71">
        <v>25</v>
      </c>
      <c r="D71">
        <v>22</v>
      </c>
    </row>
    <row r="72" spans="1:4" x14ac:dyDescent="0.2">
      <c r="A72">
        <v>2025</v>
      </c>
      <c r="B72">
        <v>9</v>
      </c>
      <c r="C72">
        <v>26</v>
      </c>
      <c r="D72">
        <v>9</v>
      </c>
    </row>
    <row r="73" spans="1:4" x14ac:dyDescent="0.2">
      <c r="A73">
        <v>2025</v>
      </c>
      <c r="B73">
        <v>9</v>
      </c>
      <c r="C73">
        <v>26</v>
      </c>
      <c r="D73">
        <v>10</v>
      </c>
    </row>
    <row r="74" spans="1:4" x14ac:dyDescent="0.2">
      <c r="A74">
        <v>2025</v>
      </c>
      <c r="B74">
        <v>9</v>
      </c>
      <c r="C74">
        <v>26</v>
      </c>
      <c r="D74">
        <v>11</v>
      </c>
    </row>
    <row r="75" spans="1:4" x14ac:dyDescent="0.2">
      <c r="A75">
        <v>2025</v>
      </c>
      <c r="B75">
        <v>9</v>
      </c>
      <c r="C75">
        <v>26</v>
      </c>
      <c r="D75">
        <v>12</v>
      </c>
    </row>
    <row r="76" spans="1:4" x14ac:dyDescent="0.2">
      <c r="A76">
        <v>2025</v>
      </c>
      <c r="B76">
        <v>9</v>
      </c>
      <c r="C76">
        <v>26</v>
      </c>
      <c r="D76">
        <v>13</v>
      </c>
    </row>
    <row r="77" spans="1:4" x14ac:dyDescent="0.2">
      <c r="A77">
        <v>2025</v>
      </c>
      <c r="B77">
        <v>9</v>
      </c>
      <c r="C77">
        <v>26</v>
      </c>
      <c r="D77">
        <v>14</v>
      </c>
    </row>
    <row r="78" spans="1:4" x14ac:dyDescent="0.2">
      <c r="A78">
        <v>2025</v>
      </c>
      <c r="B78">
        <v>9</v>
      </c>
      <c r="C78">
        <v>26</v>
      </c>
      <c r="D78">
        <v>15</v>
      </c>
    </row>
    <row r="79" spans="1:4" x14ac:dyDescent="0.2">
      <c r="A79">
        <v>2025</v>
      </c>
      <c r="B79">
        <v>9</v>
      </c>
      <c r="C79">
        <v>26</v>
      </c>
      <c r="D79">
        <v>16</v>
      </c>
    </row>
    <row r="80" spans="1:4" x14ac:dyDescent="0.2">
      <c r="A80">
        <v>2025</v>
      </c>
      <c r="B80">
        <v>9</v>
      </c>
      <c r="C80">
        <v>26</v>
      </c>
      <c r="D80">
        <v>17</v>
      </c>
    </row>
    <row r="81" spans="1:4" x14ac:dyDescent="0.2">
      <c r="A81">
        <v>2025</v>
      </c>
      <c r="B81">
        <v>9</v>
      </c>
      <c r="C81">
        <v>26</v>
      </c>
      <c r="D81">
        <v>18</v>
      </c>
    </row>
    <row r="82" spans="1:4" x14ac:dyDescent="0.2">
      <c r="A82">
        <v>2025</v>
      </c>
      <c r="B82">
        <v>9</v>
      </c>
      <c r="C82">
        <v>26</v>
      </c>
      <c r="D82">
        <v>19</v>
      </c>
    </row>
    <row r="83" spans="1:4" x14ac:dyDescent="0.2">
      <c r="A83">
        <v>2025</v>
      </c>
      <c r="B83">
        <v>9</v>
      </c>
      <c r="C83">
        <v>26</v>
      </c>
      <c r="D83">
        <v>20</v>
      </c>
    </row>
    <row r="84" spans="1:4" x14ac:dyDescent="0.2">
      <c r="A84">
        <v>2025</v>
      </c>
      <c r="B84">
        <v>9</v>
      </c>
      <c r="C84">
        <v>26</v>
      </c>
      <c r="D84">
        <v>21</v>
      </c>
    </row>
    <row r="85" spans="1:4" x14ac:dyDescent="0.2">
      <c r="A85">
        <v>2025</v>
      </c>
      <c r="B85">
        <v>9</v>
      </c>
      <c r="C85">
        <v>26</v>
      </c>
      <c r="D85">
        <v>22</v>
      </c>
    </row>
  </sheetData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5"/>
  <sheetViews>
    <sheetView workbookViewId="0">
      <selection activeCell="E2" sqref="E2:J85"/>
    </sheetView>
  </sheetViews>
  <sheetFormatPr defaultRowHeight="13.2" x14ac:dyDescent="0.2"/>
  <sheetData>
    <row r="1" spans="1:10" x14ac:dyDescent="0.2">
      <c r="A1" s="49" t="s">
        <v>84</v>
      </c>
      <c r="B1" s="49" t="s">
        <v>85</v>
      </c>
      <c r="C1" s="49" t="s">
        <v>86</v>
      </c>
      <c r="D1" s="49" t="s">
        <v>87</v>
      </c>
      <c r="E1" s="49" t="s">
        <v>25</v>
      </c>
      <c r="F1" s="49" t="s">
        <v>88</v>
      </c>
      <c r="G1" s="49" t="s">
        <v>89</v>
      </c>
      <c r="H1" s="49" t="s">
        <v>90</v>
      </c>
      <c r="I1" s="49" t="s">
        <v>91</v>
      </c>
      <c r="J1" s="49" t="s">
        <v>92</v>
      </c>
    </row>
    <row r="2" spans="1:10" x14ac:dyDescent="0.2">
      <c r="A2">
        <v>2025</v>
      </c>
      <c r="B2">
        <v>10</v>
      </c>
      <c r="C2">
        <v>10</v>
      </c>
      <c r="D2">
        <v>9</v>
      </c>
    </row>
    <row r="3" spans="1:10" x14ac:dyDescent="0.2">
      <c r="A3">
        <v>2025</v>
      </c>
      <c r="B3">
        <v>10</v>
      </c>
      <c r="C3">
        <v>10</v>
      </c>
      <c r="D3">
        <v>10</v>
      </c>
    </row>
    <row r="4" spans="1:10" x14ac:dyDescent="0.2">
      <c r="A4">
        <v>2025</v>
      </c>
      <c r="B4">
        <v>10</v>
      </c>
      <c r="C4">
        <v>10</v>
      </c>
      <c r="D4">
        <v>11</v>
      </c>
    </row>
    <row r="5" spans="1:10" x14ac:dyDescent="0.2">
      <c r="A5">
        <v>2025</v>
      </c>
      <c r="B5">
        <v>10</v>
      </c>
      <c r="C5">
        <v>10</v>
      </c>
      <c r="D5">
        <v>12</v>
      </c>
    </row>
    <row r="6" spans="1:10" x14ac:dyDescent="0.2">
      <c r="A6">
        <v>2025</v>
      </c>
      <c r="B6">
        <v>10</v>
      </c>
      <c r="C6">
        <v>10</v>
      </c>
      <c r="D6">
        <v>13</v>
      </c>
    </row>
    <row r="7" spans="1:10" x14ac:dyDescent="0.2">
      <c r="A7">
        <v>2025</v>
      </c>
      <c r="B7">
        <v>10</v>
      </c>
      <c r="C7">
        <v>10</v>
      </c>
      <c r="D7">
        <v>14</v>
      </c>
    </row>
    <row r="8" spans="1:10" x14ac:dyDescent="0.2">
      <c r="A8">
        <v>2025</v>
      </c>
      <c r="B8">
        <v>10</v>
      </c>
      <c r="C8">
        <v>10</v>
      </c>
      <c r="D8">
        <v>15</v>
      </c>
    </row>
    <row r="9" spans="1:10" x14ac:dyDescent="0.2">
      <c r="A9">
        <v>2025</v>
      </c>
      <c r="B9">
        <v>10</v>
      </c>
      <c r="C9">
        <v>10</v>
      </c>
      <c r="D9">
        <v>16</v>
      </c>
    </row>
    <row r="10" spans="1:10" x14ac:dyDescent="0.2">
      <c r="A10">
        <v>2025</v>
      </c>
      <c r="B10">
        <v>10</v>
      </c>
      <c r="C10">
        <v>10</v>
      </c>
      <c r="D10">
        <v>17</v>
      </c>
    </row>
    <row r="11" spans="1:10" x14ac:dyDescent="0.2">
      <c r="A11">
        <v>2025</v>
      </c>
      <c r="B11">
        <v>10</v>
      </c>
      <c r="C11">
        <v>10</v>
      </c>
      <c r="D11">
        <v>18</v>
      </c>
    </row>
    <row r="12" spans="1:10" x14ac:dyDescent="0.2">
      <c r="A12">
        <v>2025</v>
      </c>
      <c r="B12">
        <v>10</v>
      </c>
      <c r="C12">
        <v>10</v>
      </c>
      <c r="D12">
        <v>19</v>
      </c>
    </row>
    <row r="13" spans="1:10" x14ac:dyDescent="0.2">
      <c r="A13">
        <v>2025</v>
      </c>
      <c r="B13">
        <v>10</v>
      </c>
      <c r="C13">
        <v>10</v>
      </c>
      <c r="D13">
        <v>20</v>
      </c>
    </row>
    <row r="14" spans="1:10" x14ac:dyDescent="0.2">
      <c r="A14">
        <v>2025</v>
      </c>
      <c r="B14">
        <v>10</v>
      </c>
      <c r="C14">
        <v>10</v>
      </c>
      <c r="D14">
        <v>21</v>
      </c>
    </row>
    <row r="15" spans="1:10" x14ac:dyDescent="0.2">
      <c r="A15">
        <v>2025</v>
      </c>
      <c r="B15">
        <v>10</v>
      </c>
      <c r="C15">
        <v>10</v>
      </c>
      <c r="D15">
        <v>22</v>
      </c>
    </row>
    <row r="16" spans="1:10" x14ac:dyDescent="0.2">
      <c r="A16">
        <v>2025</v>
      </c>
      <c r="B16">
        <v>10</v>
      </c>
      <c r="C16">
        <v>11</v>
      </c>
      <c r="D16">
        <v>9</v>
      </c>
    </row>
    <row r="17" spans="1:4" x14ac:dyDescent="0.2">
      <c r="A17">
        <v>2025</v>
      </c>
      <c r="B17">
        <v>10</v>
      </c>
      <c r="C17">
        <v>11</v>
      </c>
      <c r="D17">
        <v>10</v>
      </c>
    </row>
    <row r="18" spans="1:4" x14ac:dyDescent="0.2">
      <c r="A18">
        <v>2025</v>
      </c>
      <c r="B18">
        <v>10</v>
      </c>
      <c r="C18">
        <v>11</v>
      </c>
      <c r="D18">
        <v>11</v>
      </c>
    </row>
    <row r="19" spans="1:4" x14ac:dyDescent="0.2">
      <c r="A19">
        <v>2025</v>
      </c>
      <c r="B19">
        <v>10</v>
      </c>
      <c r="C19">
        <v>11</v>
      </c>
      <c r="D19">
        <v>12</v>
      </c>
    </row>
    <row r="20" spans="1:4" x14ac:dyDescent="0.2">
      <c r="A20">
        <v>2025</v>
      </c>
      <c r="B20">
        <v>10</v>
      </c>
      <c r="C20">
        <v>11</v>
      </c>
      <c r="D20">
        <v>13</v>
      </c>
    </row>
    <row r="21" spans="1:4" x14ac:dyDescent="0.2">
      <c r="A21">
        <v>2025</v>
      </c>
      <c r="B21">
        <v>10</v>
      </c>
      <c r="C21">
        <v>11</v>
      </c>
      <c r="D21">
        <v>14</v>
      </c>
    </row>
    <row r="22" spans="1:4" x14ac:dyDescent="0.2">
      <c r="A22">
        <v>2025</v>
      </c>
      <c r="B22">
        <v>10</v>
      </c>
      <c r="C22">
        <v>11</v>
      </c>
      <c r="D22">
        <v>15</v>
      </c>
    </row>
    <row r="23" spans="1:4" x14ac:dyDescent="0.2">
      <c r="A23">
        <v>2025</v>
      </c>
      <c r="B23">
        <v>10</v>
      </c>
      <c r="C23">
        <v>11</v>
      </c>
      <c r="D23">
        <v>16</v>
      </c>
    </row>
    <row r="24" spans="1:4" x14ac:dyDescent="0.2">
      <c r="A24">
        <v>2025</v>
      </c>
      <c r="B24">
        <v>10</v>
      </c>
      <c r="C24">
        <v>11</v>
      </c>
      <c r="D24">
        <v>17</v>
      </c>
    </row>
    <row r="25" spans="1:4" x14ac:dyDescent="0.2">
      <c r="A25">
        <v>2025</v>
      </c>
      <c r="B25">
        <v>10</v>
      </c>
      <c r="C25">
        <v>11</v>
      </c>
      <c r="D25">
        <v>18</v>
      </c>
    </row>
    <row r="26" spans="1:4" x14ac:dyDescent="0.2">
      <c r="A26">
        <v>2025</v>
      </c>
      <c r="B26">
        <v>10</v>
      </c>
      <c r="C26">
        <v>11</v>
      </c>
      <c r="D26">
        <v>19</v>
      </c>
    </row>
    <row r="27" spans="1:4" x14ac:dyDescent="0.2">
      <c r="A27">
        <v>2025</v>
      </c>
      <c r="B27">
        <v>10</v>
      </c>
      <c r="C27">
        <v>11</v>
      </c>
      <c r="D27">
        <v>20</v>
      </c>
    </row>
    <row r="28" spans="1:4" x14ac:dyDescent="0.2">
      <c r="A28">
        <v>2025</v>
      </c>
      <c r="B28">
        <v>10</v>
      </c>
      <c r="C28">
        <v>11</v>
      </c>
      <c r="D28">
        <v>21</v>
      </c>
    </row>
    <row r="29" spans="1:4" x14ac:dyDescent="0.2">
      <c r="A29">
        <v>2025</v>
      </c>
      <c r="B29">
        <v>10</v>
      </c>
      <c r="C29">
        <v>11</v>
      </c>
      <c r="D29">
        <v>22</v>
      </c>
    </row>
    <row r="30" spans="1:4" x14ac:dyDescent="0.2">
      <c r="A30">
        <v>2025</v>
      </c>
      <c r="B30">
        <v>10</v>
      </c>
      <c r="C30">
        <v>12</v>
      </c>
      <c r="D30">
        <v>9</v>
      </c>
    </row>
    <row r="31" spans="1:4" x14ac:dyDescent="0.2">
      <c r="A31">
        <v>2025</v>
      </c>
      <c r="B31">
        <v>10</v>
      </c>
      <c r="C31">
        <v>12</v>
      </c>
      <c r="D31">
        <v>10</v>
      </c>
    </row>
    <row r="32" spans="1:4" x14ac:dyDescent="0.2">
      <c r="A32">
        <v>2025</v>
      </c>
      <c r="B32">
        <v>10</v>
      </c>
      <c r="C32">
        <v>12</v>
      </c>
      <c r="D32">
        <v>11</v>
      </c>
    </row>
    <row r="33" spans="1:4" x14ac:dyDescent="0.2">
      <c r="A33">
        <v>2025</v>
      </c>
      <c r="B33">
        <v>10</v>
      </c>
      <c r="C33">
        <v>12</v>
      </c>
      <c r="D33">
        <v>12</v>
      </c>
    </row>
    <row r="34" spans="1:4" x14ac:dyDescent="0.2">
      <c r="A34">
        <v>2025</v>
      </c>
      <c r="B34">
        <v>10</v>
      </c>
      <c r="C34">
        <v>12</v>
      </c>
      <c r="D34">
        <v>13</v>
      </c>
    </row>
    <row r="35" spans="1:4" x14ac:dyDescent="0.2">
      <c r="A35">
        <v>2025</v>
      </c>
      <c r="B35">
        <v>10</v>
      </c>
      <c r="C35">
        <v>12</v>
      </c>
      <c r="D35">
        <v>14</v>
      </c>
    </row>
    <row r="36" spans="1:4" x14ac:dyDescent="0.2">
      <c r="A36">
        <v>2025</v>
      </c>
      <c r="B36">
        <v>10</v>
      </c>
      <c r="C36">
        <v>12</v>
      </c>
      <c r="D36">
        <v>15</v>
      </c>
    </row>
    <row r="37" spans="1:4" x14ac:dyDescent="0.2">
      <c r="A37">
        <v>2025</v>
      </c>
      <c r="B37">
        <v>10</v>
      </c>
      <c r="C37">
        <v>12</v>
      </c>
      <c r="D37">
        <v>16</v>
      </c>
    </row>
    <row r="38" spans="1:4" x14ac:dyDescent="0.2">
      <c r="A38">
        <v>2025</v>
      </c>
      <c r="B38">
        <v>10</v>
      </c>
      <c r="C38">
        <v>12</v>
      </c>
      <c r="D38">
        <v>17</v>
      </c>
    </row>
    <row r="39" spans="1:4" x14ac:dyDescent="0.2">
      <c r="A39">
        <v>2025</v>
      </c>
      <c r="B39">
        <v>10</v>
      </c>
      <c r="C39">
        <v>12</v>
      </c>
      <c r="D39">
        <v>18</v>
      </c>
    </row>
    <row r="40" spans="1:4" x14ac:dyDescent="0.2">
      <c r="A40">
        <v>2025</v>
      </c>
      <c r="B40">
        <v>10</v>
      </c>
      <c r="C40">
        <v>12</v>
      </c>
      <c r="D40">
        <v>19</v>
      </c>
    </row>
    <row r="41" spans="1:4" x14ac:dyDescent="0.2">
      <c r="A41">
        <v>2025</v>
      </c>
      <c r="B41">
        <v>10</v>
      </c>
      <c r="C41">
        <v>12</v>
      </c>
      <c r="D41">
        <v>20</v>
      </c>
    </row>
    <row r="42" spans="1:4" x14ac:dyDescent="0.2">
      <c r="A42">
        <v>2025</v>
      </c>
      <c r="B42">
        <v>10</v>
      </c>
      <c r="C42">
        <v>12</v>
      </c>
      <c r="D42">
        <v>21</v>
      </c>
    </row>
    <row r="43" spans="1:4" x14ac:dyDescent="0.2">
      <c r="A43">
        <v>2025</v>
      </c>
      <c r="B43">
        <v>10</v>
      </c>
      <c r="C43">
        <v>12</v>
      </c>
      <c r="D43">
        <v>22</v>
      </c>
    </row>
    <row r="44" spans="1:4" x14ac:dyDescent="0.2">
      <c r="A44">
        <v>2025</v>
      </c>
      <c r="B44">
        <v>10</v>
      </c>
      <c r="C44">
        <v>13</v>
      </c>
      <c r="D44">
        <v>9</v>
      </c>
    </row>
    <row r="45" spans="1:4" x14ac:dyDescent="0.2">
      <c r="A45">
        <v>2025</v>
      </c>
      <c r="B45">
        <v>10</v>
      </c>
      <c r="C45">
        <v>13</v>
      </c>
      <c r="D45">
        <v>10</v>
      </c>
    </row>
    <row r="46" spans="1:4" x14ac:dyDescent="0.2">
      <c r="A46">
        <v>2025</v>
      </c>
      <c r="B46">
        <v>10</v>
      </c>
      <c r="C46">
        <v>13</v>
      </c>
      <c r="D46">
        <v>11</v>
      </c>
    </row>
    <row r="47" spans="1:4" x14ac:dyDescent="0.2">
      <c r="A47">
        <v>2025</v>
      </c>
      <c r="B47">
        <v>10</v>
      </c>
      <c r="C47">
        <v>13</v>
      </c>
      <c r="D47">
        <v>12</v>
      </c>
    </row>
    <row r="48" spans="1:4" x14ac:dyDescent="0.2">
      <c r="A48">
        <v>2025</v>
      </c>
      <c r="B48">
        <v>10</v>
      </c>
      <c r="C48">
        <v>13</v>
      </c>
      <c r="D48">
        <v>13</v>
      </c>
    </row>
    <row r="49" spans="1:4" x14ac:dyDescent="0.2">
      <c r="A49">
        <v>2025</v>
      </c>
      <c r="B49">
        <v>10</v>
      </c>
      <c r="C49">
        <v>13</v>
      </c>
      <c r="D49">
        <v>14</v>
      </c>
    </row>
    <row r="50" spans="1:4" x14ac:dyDescent="0.2">
      <c r="A50">
        <v>2025</v>
      </c>
      <c r="B50">
        <v>10</v>
      </c>
      <c r="C50">
        <v>13</v>
      </c>
      <c r="D50">
        <v>15</v>
      </c>
    </row>
    <row r="51" spans="1:4" x14ac:dyDescent="0.2">
      <c r="A51">
        <v>2025</v>
      </c>
      <c r="B51">
        <v>10</v>
      </c>
      <c r="C51">
        <v>13</v>
      </c>
      <c r="D51">
        <v>16</v>
      </c>
    </row>
    <row r="52" spans="1:4" x14ac:dyDescent="0.2">
      <c r="A52">
        <v>2025</v>
      </c>
      <c r="B52">
        <v>10</v>
      </c>
      <c r="C52">
        <v>13</v>
      </c>
      <c r="D52">
        <v>17</v>
      </c>
    </row>
    <row r="53" spans="1:4" x14ac:dyDescent="0.2">
      <c r="A53">
        <v>2025</v>
      </c>
      <c r="B53">
        <v>10</v>
      </c>
      <c r="C53">
        <v>13</v>
      </c>
      <c r="D53">
        <v>18</v>
      </c>
    </row>
    <row r="54" spans="1:4" x14ac:dyDescent="0.2">
      <c r="A54">
        <v>2025</v>
      </c>
      <c r="B54">
        <v>10</v>
      </c>
      <c r="C54">
        <v>13</v>
      </c>
      <c r="D54">
        <v>19</v>
      </c>
    </row>
    <row r="55" spans="1:4" x14ac:dyDescent="0.2">
      <c r="A55">
        <v>2025</v>
      </c>
      <c r="B55">
        <v>10</v>
      </c>
      <c r="C55">
        <v>13</v>
      </c>
      <c r="D55">
        <v>20</v>
      </c>
    </row>
    <row r="56" spans="1:4" x14ac:dyDescent="0.2">
      <c r="A56">
        <v>2025</v>
      </c>
      <c r="B56">
        <v>10</v>
      </c>
      <c r="C56">
        <v>13</v>
      </c>
      <c r="D56">
        <v>21</v>
      </c>
    </row>
    <row r="57" spans="1:4" x14ac:dyDescent="0.2">
      <c r="A57">
        <v>2025</v>
      </c>
      <c r="B57">
        <v>10</v>
      </c>
      <c r="C57">
        <v>13</v>
      </c>
      <c r="D57">
        <v>22</v>
      </c>
    </row>
    <row r="58" spans="1:4" x14ac:dyDescent="0.2">
      <c r="A58">
        <v>2025</v>
      </c>
      <c r="B58">
        <v>10</v>
      </c>
      <c r="C58">
        <v>14</v>
      </c>
      <c r="D58">
        <v>9</v>
      </c>
    </row>
    <row r="59" spans="1:4" x14ac:dyDescent="0.2">
      <c r="A59">
        <v>2025</v>
      </c>
      <c r="B59">
        <v>10</v>
      </c>
      <c r="C59">
        <v>14</v>
      </c>
      <c r="D59">
        <v>10</v>
      </c>
    </row>
    <row r="60" spans="1:4" x14ac:dyDescent="0.2">
      <c r="A60">
        <v>2025</v>
      </c>
      <c r="B60">
        <v>10</v>
      </c>
      <c r="C60">
        <v>14</v>
      </c>
      <c r="D60">
        <v>11</v>
      </c>
    </row>
    <row r="61" spans="1:4" x14ac:dyDescent="0.2">
      <c r="A61">
        <v>2025</v>
      </c>
      <c r="B61">
        <v>10</v>
      </c>
      <c r="C61">
        <v>14</v>
      </c>
      <c r="D61">
        <v>12</v>
      </c>
    </row>
    <row r="62" spans="1:4" x14ac:dyDescent="0.2">
      <c r="A62">
        <v>2025</v>
      </c>
      <c r="B62">
        <v>10</v>
      </c>
      <c r="C62">
        <v>14</v>
      </c>
      <c r="D62">
        <v>13</v>
      </c>
    </row>
    <row r="63" spans="1:4" x14ac:dyDescent="0.2">
      <c r="A63">
        <v>2025</v>
      </c>
      <c r="B63">
        <v>10</v>
      </c>
      <c r="C63">
        <v>14</v>
      </c>
      <c r="D63">
        <v>14</v>
      </c>
    </row>
    <row r="64" spans="1:4" x14ac:dyDescent="0.2">
      <c r="A64">
        <v>2025</v>
      </c>
      <c r="B64">
        <v>10</v>
      </c>
      <c r="C64">
        <v>14</v>
      </c>
      <c r="D64">
        <v>15</v>
      </c>
    </row>
    <row r="65" spans="1:4" x14ac:dyDescent="0.2">
      <c r="A65">
        <v>2025</v>
      </c>
      <c r="B65">
        <v>10</v>
      </c>
      <c r="C65">
        <v>14</v>
      </c>
      <c r="D65">
        <v>16</v>
      </c>
    </row>
    <row r="66" spans="1:4" x14ac:dyDescent="0.2">
      <c r="A66">
        <v>2025</v>
      </c>
      <c r="B66">
        <v>10</v>
      </c>
      <c r="C66">
        <v>14</v>
      </c>
      <c r="D66">
        <v>17</v>
      </c>
    </row>
    <row r="67" spans="1:4" x14ac:dyDescent="0.2">
      <c r="A67">
        <v>2025</v>
      </c>
      <c r="B67">
        <v>10</v>
      </c>
      <c r="C67">
        <v>14</v>
      </c>
      <c r="D67">
        <v>18</v>
      </c>
    </row>
    <row r="68" spans="1:4" x14ac:dyDescent="0.2">
      <c r="A68">
        <v>2025</v>
      </c>
      <c r="B68">
        <v>10</v>
      </c>
      <c r="C68">
        <v>14</v>
      </c>
      <c r="D68">
        <v>19</v>
      </c>
    </row>
    <row r="69" spans="1:4" x14ac:dyDescent="0.2">
      <c r="A69">
        <v>2025</v>
      </c>
      <c r="B69">
        <v>10</v>
      </c>
      <c r="C69">
        <v>14</v>
      </c>
      <c r="D69">
        <v>20</v>
      </c>
    </row>
    <row r="70" spans="1:4" x14ac:dyDescent="0.2">
      <c r="A70">
        <v>2025</v>
      </c>
      <c r="B70">
        <v>10</v>
      </c>
      <c r="C70">
        <v>14</v>
      </c>
      <c r="D70">
        <v>21</v>
      </c>
    </row>
    <row r="71" spans="1:4" x14ac:dyDescent="0.2">
      <c r="A71">
        <v>2025</v>
      </c>
      <c r="B71">
        <v>10</v>
      </c>
      <c r="C71">
        <v>14</v>
      </c>
      <c r="D71">
        <v>22</v>
      </c>
    </row>
    <row r="72" spans="1:4" x14ac:dyDescent="0.2">
      <c r="A72">
        <v>2025</v>
      </c>
      <c r="B72">
        <v>10</v>
      </c>
      <c r="C72">
        <v>15</v>
      </c>
      <c r="D72">
        <v>9</v>
      </c>
    </row>
    <row r="73" spans="1:4" x14ac:dyDescent="0.2">
      <c r="A73">
        <v>2025</v>
      </c>
      <c r="B73">
        <v>10</v>
      </c>
      <c r="C73">
        <v>15</v>
      </c>
      <c r="D73">
        <v>10</v>
      </c>
    </row>
    <row r="74" spans="1:4" x14ac:dyDescent="0.2">
      <c r="A74">
        <v>2025</v>
      </c>
      <c r="B74">
        <v>10</v>
      </c>
      <c r="C74">
        <v>15</v>
      </c>
      <c r="D74">
        <v>11</v>
      </c>
    </row>
    <row r="75" spans="1:4" x14ac:dyDescent="0.2">
      <c r="A75">
        <v>2025</v>
      </c>
      <c r="B75">
        <v>10</v>
      </c>
      <c r="C75">
        <v>15</v>
      </c>
      <c r="D75">
        <v>12</v>
      </c>
    </row>
    <row r="76" spans="1:4" x14ac:dyDescent="0.2">
      <c r="A76">
        <v>2025</v>
      </c>
      <c r="B76">
        <v>10</v>
      </c>
      <c r="C76">
        <v>15</v>
      </c>
      <c r="D76">
        <v>13</v>
      </c>
    </row>
    <row r="77" spans="1:4" x14ac:dyDescent="0.2">
      <c r="A77">
        <v>2025</v>
      </c>
      <c r="B77">
        <v>10</v>
      </c>
      <c r="C77">
        <v>15</v>
      </c>
      <c r="D77">
        <v>14</v>
      </c>
    </row>
    <row r="78" spans="1:4" x14ac:dyDescent="0.2">
      <c r="A78">
        <v>2025</v>
      </c>
      <c r="B78">
        <v>10</v>
      </c>
      <c r="C78">
        <v>15</v>
      </c>
      <c r="D78">
        <v>15</v>
      </c>
    </row>
    <row r="79" spans="1:4" x14ac:dyDescent="0.2">
      <c r="A79">
        <v>2025</v>
      </c>
      <c r="B79">
        <v>10</v>
      </c>
      <c r="C79">
        <v>15</v>
      </c>
      <c r="D79">
        <v>16</v>
      </c>
    </row>
    <row r="80" spans="1:4" x14ac:dyDescent="0.2">
      <c r="A80">
        <v>2025</v>
      </c>
      <c r="B80">
        <v>10</v>
      </c>
      <c r="C80">
        <v>15</v>
      </c>
      <c r="D80">
        <v>17</v>
      </c>
    </row>
    <row r="81" spans="1:4" x14ac:dyDescent="0.2">
      <c r="A81">
        <v>2025</v>
      </c>
      <c r="B81">
        <v>10</v>
      </c>
      <c r="C81">
        <v>15</v>
      </c>
      <c r="D81">
        <v>18</v>
      </c>
    </row>
    <row r="82" spans="1:4" x14ac:dyDescent="0.2">
      <c r="A82">
        <v>2025</v>
      </c>
      <c r="B82">
        <v>10</v>
      </c>
      <c r="C82">
        <v>15</v>
      </c>
      <c r="D82">
        <v>19</v>
      </c>
    </row>
    <row r="83" spans="1:4" x14ac:dyDescent="0.2">
      <c r="A83">
        <v>2025</v>
      </c>
      <c r="B83">
        <v>10</v>
      </c>
      <c r="C83">
        <v>15</v>
      </c>
      <c r="D83">
        <v>20</v>
      </c>
    </row>
    <row r="84" spans="1:4" x14ac:dyDescent="0.2">
      <c r="A84">
        <v>2025</v>
      </c>
      <c r="B84">
        <v>10</v>
      </c>
      <c r="C84">
        <v>15</v>
      </c>
      <c r="D84">
        <v>21</v>
      </c>
    </row>
    <row r="85" spans="1:4" x14ac:dyDescent="0.2">
      <c r="A85">
        <v>2025</v>
      </c>
      <c r="B85">
        <v>10</v>
      </c>
      <c r="C85">
        <v>15</v>
      </c>
      <c r="D85">
        <v>22</v>
      </c>
    </row>
  </sheetData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39"/>
  <sheetViews>
    <sheetView tabSelected="1" workbookViewId="0">
      <selection activeCell="J11" sqref="J11"/>
    </sheetView>
  </sheetViews>
  <sheetFormatPr defaultRowHeight="13.2" x14ac:dyDescent="0.2"/>
  <cols>
    <col min="9" max="9" width="12.6640625" customWidth="1"/>
  </cols>
  <sheetData>
    <row r="1" spans="1:10" x14ac:dyDescent="0.2">
      <c r="A1" s="49" t="s">
        <v>84</v>
      </c>
      <c r="B1" s="49" t="s">
        <v>85</v>
      </c>
      <c r="C1" s="49" t="s">
        <v>86</v>
      </c>
      <c r="D1" s="49" t="s">
        <v>87</v>
      </c>
      <c r="E1" s="49" t="s">
        <v>25</v>
      </c>
      <c r="F1" s="49" t="s">
        <v>88</v>
      </c>
      <c r="G1" s="49" t="s">
        <v>89</v>
      </c>
      <c r="H1" s="49" t="s">
        <v>90</v>
      </c>
      <c r="I1" s="49" t="s">
        <v>91</v>
      </c>
      <c r="J1" s="49" t="s">
        <v>92</v>
      </c>
    </row>
    <row r="2" spans="1:10" x14ac:dyDescent="0.2">
      <c r="A2">
        <v>2025</v>
      </c>
      <c r="B2">
        <v>9</v>
      </c>
      <c r="C2">
        <v>18</v>
      </c>
      <c r="D2">
        <v>14</v>
      </c>
    </row>
    <row r="3" spans="1:10" x14ac:dyDescent="0.2">
      <c r="A3">
        <v>2025</v>
      </c>
      <c r="B3">
        <v>9</v>
      </c>
      <c r="C3">
        <v>18</v>
      </c>
      <c r="D3">
        <v>15</v>
      </c>
    </row>
    <row r="4" spans="1:10" x14ac:dyDescent="0.2">
      <c r="A4">
        <v>2025</v>
      </c>
      <c r="B4">
        <v>9</v>
      </c>
      <c r="C4">
        <v>18</v>
      </c>
      <c r="D4">
        <v>16</v>
      </c>
    </row>
    <row r="5" spans="1:10" x14ac:dyDescent="0.2">
      <c r="A5">
        <v>2025</v>
      </c>
      <c r="B5">
        <v>9</v>
      </c>
      <c r="C5">
        <v>18</v>
      </c>
      <c r="D5">
        <v>17</v>
      </c>
    </row>
    <row r="6" spans="1:10" x14ac:dyDescent="0.2">
      <c r="A6">
        <v>2025</v>
      </c>
      <c r="B6">
        <v>9</v>
      </c>
      <c r="C6">
        <v>18</v>
      </c>
      <c r="D6">
        <v>18</v>
      </c>
    </row>
    <row r="7" spans="1:10" x14ac:dyDescent="0.2">
      <c r="A7">
        <v>2025</v>
      </c>
      <c r="B7">
        <v>9</v>
      </c>
      <c r="C7">
        <v>18</v>
      </c>
      <c r="D7">
        <v>19</v>
      </c>
    </row>
    <row r="8" spans="1:10" x14ac:dyDescent="0.2">
      <c r="A8">
        <v>2025</v>
      </c>
      <c r="B8">
        <v>9</v>
      </c>
      <c r="C8">
        <v>18</v>
      </c>
      <c r="D8">
        <v>20</v>
      </c>
    </row>
    <row r="9" spans="1:10" x14ac:dyDescent="0.2">
      <c r="A9">
        <v>2025</v>
      </c>
      <c r="B9">
        <v>9</v>
      </c>
      <c r="C9">
        <v>18</v>
      </c>
      <c r="D9">
        <v>21</v>
      </c>
    </row>
    <row r="10" spans="1:10" x14ac:dyDescent="0.2">
      <c r="A10">
        <v>2025</v>
      </c>
      <c r="B10">
        <v>9</v>
      </c>
      <c r="C10">
        <v>18</v>
      </c>
      <c r="D10">
        <v>22</v>
      </c>
    </row>
    <row r="11" spans="1:10" x14ac:dyDescent="0.2">
      <c r="A11">
        <v>2025</v>
      </c>
      <c r="B11">
        <v>9</v>
      </c>
      <c r="C11">
        <v>19</v>
      </c>
      <c r="D11">
        <v>9</v>
      </c>
    </row>
    <row r="12" spans="1:10" x14ac:dyDescent="0.2">
      <c r="A12">
        <v>2025</v>
      </c>
      <c r="B12">
        <v>9</v>
      </c>
      <c r="C12">
        <v>19</v>
      </c>
      <c r="D12">
        <v>10</v>
      </c>
    </row>
    <row r="13" spans="1:10" x14ac:dyDescent="0.2">
      <c r="A13">
        <v>2025</v>
      </c>
      <c r="B13">
        <v>9</v>
      </c>
      <c r="C13">
        <v>19</v>
      </c>
      <c r="D13">
        <v>11</v>
      </c>
    </row>
    <row r="14" spans="1:10" x14ac:dyDescent="0.2">
      <c r="A14">
        <v>2025</v>
      </c>
      <c r="B14">
        <v>9</v>
      </c>
      <c r="C14">
        <v>19</v>
      </c>
      <c r="D14">
        <v>12</v>
      </c>
    </row>
    <row r="15" spans="1:10" x14ac:dyDescent="0.2">
      <c r="A15">
        <v>2025</v>
      </c>
      <c r="B15">
        <v>9</v>
      </c>
      <c r="C15">
        <v>19</v>
      </c>
      <c r="D15">
        <v>13</v>
      </c>
    </row>
    <row r="16" spans="1:10" x14ac:dyDescent="0.2">
      <c r="A16">
        <v>2025</v>
      </c>
      <c r="B16">
        <v>9</v>
      </c>
      <c r="C16">
        <v>19</v>
      </c>
      <c r="D16">
        <v>14</v>
      </c>
    </row>
    <row r="17" spans="1:4" x14ac:dyDescent="0.2">
      <c r="A17">
        <v>2025</v>
      </c>
      <c r="B17">
        <v>9</v>
      </c>
      <c r="C17">
        <v>19</v>
      </c>
      <c r="D17">
        <v>15</v>
      </c>
    </row>
    <row r="18" spans="1:4" x14ac:dyDescent="0.2">
      <c r="A18">
        <v>2025</v>
      </c>
      <c r="B18">
        <v>9</v>
      </c>
      <c r="C18">
        <v>19</v>
      </c>
      <c r="D18">
        <v>16</v>
      </c>
    </row>
    <row r="19" spans="1:4" x14ac:dyDescent="0.2">
      <c r="A19">
        <v>2025</v>
      </c>
      <c r="B19">
        <v>9</v>
      </c>
      <c r="C19">
        <v>19</v>
      </c>
      <c r="D19">
        <v>17</v>
      </c>
    </row>
    <row r="20" spans="1:4" x14ac:dyDescent="0.2">
      <c r="A20">
        <v>2025</v>
      </c>
      <c r="B20">
        <v>9</v>
      </c>
      <c r="C20">
        <v>19</v>
      </c>
      <c r="D20">
        <v>18</v>
      </c>
    </row>
    <row r="21" spans="1:4" x14ac:dyDescent="0.2">
      <c r="A21">
        <v>2025</v>
      </c>
      <c r="B21">
        <v>9</v>
      </c>
      <c r="C21">
        <v>19</v>
      </c>
      <c r="D21">
        <v>19</v>
      </c>
    </row>
    <row r="22" spans="1:4" x14ac:dyDescent="0.2">
      <c r="A22">
        <v>2025</v>
      </c>
      <c r="B22">
        <v>9</v>
      </c>
      <c r="C22">
        <v>19</v>
      </c>
      <c r="D22">
        <v>20</v>
      </c>
    </row>
    <row r="23" spans="1:4" x14ac:dyDescent="0.2">
      <c r="A23">
        <v>2025</v>
      </c>
      <c r="B23">
        <v>9</v>
      </c>
      <c r="C23">
        <v>19</v>
      </c>
      <c r="D23">
        <v>21</v>
      </c>
    </row>
    <row r="24" spans="1:4" x14ac:dyDescent="0.2">
      <c r="A24">
        <v>2025</v>
      </c>
      <c r="B24">
        <v>9</v>
      </c>
      <c r="C24">
        <v>19</v>
      </c>
      <c r="D24">
        <v>22</v>
      </c>
    </row>
    <row r="25" spans="1:4" x14ac:dyDescent="0.2">
      <c r="A25">
        <v>2025</v>
      </c>
      <c r="B25">
        <v>9</v>
      </c>
      <c r="C25">
        <v>20</v>
      </c>
      <c r="D25">
        <v>9</v>
      </c>
    </row>
    <row r="26" spans="1:4" x14ac:dyDescent="0.2">
      <c r="A26">
        <v>2025</v>
      </c>
      <c r="B26">
        <v>9</v>
      </c>
      <c r="C26">
        <v>20</v>
      </c>
      <c r="D26">
        <v>10</v>
      </c>
    </row>
    <row r="27" spans="1:4" x14ac:dyDescent="0.2">
      <c r="A27">
        <v>2025</v>
      </c>
      <c r="B27">
        <v>9</v>
      </c>
      <c r="C27">
        <v>20</v>
      </c>
      <c r="D27">
        <v>11</v>
      </c>
    </row>
    <row r="28" spans="1:4" x14ac:dyDescent="0.2">
      <c r="A28">
        <v>2025</v>
      </c>
      <c r="B28">
        <v>9</v>
      </c>
      <c r="C28">
        <v>20</v>
      </c>
      <c r="D28">
        <v>12</v>
      </c>
    </row>
    <row r="29" spans="1:4" x14ac:dyDescent="0.2">
      <c r="A29">
        <v>2025</v>
      </c>
      <c r="B29">
        <v>9</v>
      </c>
      <c r="C29">
        <v>20</v>
      </c>
      <c r="D29">
        <v>13</v>
      </c>
    </row>
    <row r="30" spans="1:4" x14ac:dyDescent="0.2">
      <c r="A30">
        <v>2025</v>
      </c>
      <c r="B30">
        <v>9</v>
      </c>
      <c r="C30">
        <v>20</v>
      </c>
      <c r="D30">
        <v>14</v>
      </c>
    </row>
    <row r="31" spans="1:4" x14ac:dyDescent="0.2">
      <c r="A31">
        <v>2025</v>
      </c>
      <c r="B31">
        <v>9</v>
      </c>
      <c r="C31">
        <v>20</v>
      </c>
      <c r="D31">
        <v>15</v>
      </c>
    </row>
    <row r="32" spans="1:4" x14ac:dyDescent="0.2">
      <c r="A32">
        <v>2025</v>
      </c>
      <c r="B32">
        <v>9</v>
      </c>
      <c r="C32">
        <v>20</v>
      </c>
      <c r="D32">
        <v>16</v>
      </c>
    </row>
    <row r="33" spans="1:4" x14ac:dyDescent="0.2">
      <c r="A33">
        <v>2025</v>
      </c>
      <c r="B33">
        <v>9</v>
      </c>
      <c r="C33">
        <v>20</v>
      </c>
      <c r="D33">
        <v>17</v>
      </c>
    </row>
    <row r="34" spans="1:4" x14ac:dyDescent="0.2">
      <c r="A34">
        <v>2025</v>
      </c>
      <c r="B34">
        <v>9</v>
      </c>
      <c r="C34">
        <v>20</v>
      </c>
      <c r="D34">
        <v>18</v>
      </c>
    </row>
    <row r="35" spans="1:4" x14ac:dyDescent="0.2">
      <c r="A35">
        <v>2025</v>
      </c>
      <c r="B35">
        <v>9</v>
      </c>
      <c r="C35">
        <v>20</v>
      </c>
      <c r="D35">
        <v>19</v>
      </c>
    </row>
    <row r="36" spans="1:4" x14ac:dyDescent="0.2">
      <c r="A36">
        <v>2025</v>
      </c>
      <c r="B36">
        <v>9</v>
      </c>
      <c r="C36">
        <v>20</v>
      </c>
      <c r="D36">
        <v>20</v>
      </c>
    </row>
    <row r="37" spans="1:4" x14ac:dyDescent="0.2">
      <c r="A37">
        <v>2025</v>
      </c>
      <c r="B37">
        <v>9</v>
      </c>
      <c r="C37">
        <v>20</v>
      </c>
      <c r="D37">
        <v>21</v>
      </c>
    </row>
    <row r="38" spans="1:4" x14ac:dyDescent="0.2">
      <c r="A38">
        <v>2025</v>
      </c>
      <c r="B38">
        <v>9</v>
      </c>
      <c r="C38">
        <v>20</v>
      </c>
      <c r="D38">
        <v>22</v>
      </c>
    </row>
    <row r="39" spans="1:4" x14ac:dyDescent="0.2">
      <c r="A39">
        <v>2025</v>
      </c>
      <c r="B39">
        <v>9</v>
      </c>
      <c r="C39">
        <v>21</v>
      </c>
      <c r="D39">
        <v>9</v>
      </c>
    </row>
    <row r="40" spans="1:4" x14ac:dyDescent="0.2">
      <c r="A40">
        <v>2025</v>
      </c>
      <c r="B40">
        <v>9</v>
      </c>
      <c r="C40">
        <v>21</v>
      </c>
      <c r="D40">
        <v>10</v>
      </c>
    </row>
    <row r="41" spans="1:4" x14ac:dyDescent="0.2">
      <c r="A41">
        <v>2025</v>
      </c>
      <c r="B41">
        <v>9</v>
      </c>
      <c r="C41">
        <v>21</v>
      </c>
      <c r="D41">
        <v>11</v>
      </c>
    </row>
    <row r="42" spans="1:4" x14ac:dyDescent="0.2">
      <c r="A42">
        <v>2025</v>
      </c>
      <c r="B42">
        <v>9</v>
      </c>
      <c r="C42">
        <v>21</v>
      </c>
      <c r="D42">
        <v>12</v>
      </c>
    </row>
    <row r="43" spans="1:4" x14ac:dyDescent="0.2">
      <c r="A43">
        <v>2025</v>
      </c>
      <c r="B43">
        <v>9</v>
      </c>
      <c r="C43">
        <v>21</v>
      </c>
      <c r="D43">
        <v>13</v>
      </c>
    </row>
    <row r="44" spans="1:4" x14ac:dyDescent="0.2">
      <c r="A44">
        <v>2025</v>
      </c>
      <c r="B44">
        <v>9</v>
      </c>
      <c r="C44">
        <v>21</v>
      </c>
      <c r="D44">
        <v>14</v>
      </c>
    </row>
    <row r="45" spans="1:4" x14ac:dyDescent="0.2">
      <c r="A45">
        <v>2025</v>
      </c>
      <c r="B45">
        <v>9</v>
      </c>
      <c r="C45">
        <v>21</v>
      </c>
      <c r="D45">
        <v>15</v>
      </c>
    </row>
    <row r="46" spans="1:4" x14ac:dyDescent="0.2">
      <c r="A46">
        <v>2025</v>
      </c>
      <c r="B46">
        <v>9</v>
      </c>
      <c r="C46">
        <v>21</v>
      </c>
      <c r="D46">
        <v>16</v>
      </c>
    </row>
    <row r="47" spans="1:4" x14ac:dyDescent="0.2">
      <c r="A47">
        <v>2025</v>
      </c>
      <c r="B47">
        <v>9</v>
      </c>
      <c r="C47">
        <v>21</v>
      </c>
      <c r="D47">
        <v>17</v>
      </c>
    </row>
    <row r="48" spans="1:4" x14ac:dyDescent="0.2">
      <c r="A48">
        <v>2025</v>
      </c>
      <c r="B48">
        <v>9</v>
      </c>
      <c r="C48">
        <v>21</v>
      </c>
      <c r="D48">
        <v>18</v>
      </c>
    </row>
    <row r="49" spans="1:4" x14ac:dyDescent="0.2">
      <c r="A49">
        <v>2025</v>
      </c>
      <c r="B49">
        <v>9</v>
      </c>
      <c r="C49">
        <v>21</v>
      </c>
      <c r="D49">
        <v>19</v>
      </c>
    </row>
    <row r="50" spans="1:4" x14ac:dyDescent="0.2">
      <c r="A50">
        <v>2025</v>
      </c>
      <c r="B50">
        <v>9</v>
      </c>
      <c r="C50">
        <v>21</v>
      </c>
      <c r="D50">
        <v>20</v>
      </c>
    </row>
    <row r="51" spans="1:4" x14ac:dyDescent="0.2">
      <c r="A51">
        <v>2025</v>
      </c>
      <c r="B51">
        <v>9</v>
      </c>
      <c r="C51">
        <v>21</v>
      </c>
      <c r="D51">
        <v>21</v>
      </c>
    </row>
    <row r="52" spans="1:4" x14ac:dyDescent="0.2">
      <c r="A52">
        <v>2025</v>
      </c>
      <c r="B52">
        <v>9</v>
      </c>
      <c r="C52">
        <v>21</v>
      </c>
      <c r="D52">
        <v>22</v>
      </c>
    </row>
    <row r="53" spans="1:4" x14ac:dyDescent="0.2">
      <c r="A53">
        <v>2025</v>
      </c>
      <c r="B53">
        <v>9</v>
      </c>
      <c r="C53">
        <v>22</v>
      </c>
      <c r="D53">
        <v>9</v>
      </c>
    </row>
    <row r="54" spans="1:4" x14ac:dyDescent="0.2">
      <c r="A54">
        <v>2025</v>
      </c>
      <c r="B54">
        <v>9</v>
      </c>
      <c r="C54">
        <v>22</v>
      </c>
      <c r="D54">
        <v>10</v>
      </c>
    </row>
    <row r="55" spans="1:4" x14ac:dyDescent="0.2">
      <c r="A55">
        <v>2025</v>
      </c>
      <c r="B55">
        <v>9</v>
      </c>
      <c r="C55">
        <v>22</v>
      </c>
      <c r="D55">
        <v>11</v>
      </c>
    </row>
    <row r="56" spans="1:4" x14ac:dyDescent="0.2">
      <c r="A56">
        <v>2025</v>
      </c>
      <c r="B56">
        <v>9</v>
      </c>
      <c r="C56">
        <v>22</v>
      </c>
      <c r="D56">
        <v>12</v>
      </c>
    </row>
    <row r="57" spans="1:4" x14ac:dyDescent="0.2">
      <c r="A57">
        <v>2025</v>
      </c>
      <c r="B57">
        <v>9</v>
      </c>
      <c r="C57">
        <v>22</v>
      </c>
      <c r="D57">
        <v>13</v>
      </c>
    </row>
    <row r="58" spans="1:4" x14ac:dyDescent="0.2">
      <c r="A58">
        <v>2025</v>
      </c>
      <c r="B58">
        <v>9</v>
      </c>
      <c r="C58">
        <v>22</v>
      </c>
      <c r="D58">
        <v>14</v>
      </c>
    </row>
    <row r="59" spans="1:4" x14ac:dyDescent="0.2">
      <c r="A59">
        <v>2025</v>
      </c>
      <c r="B59">
        <v>9</v>
      </c>
      <c r="C59">
        <v>22</v>
      </c>
      <c r="D59">
        <v>15</v>
      </c>
    </row>
    <row r="60" spans="1:4" x14ac:dyDescent="0.2">
      <c r="A60">
        <v>2025</v>
      </c>
      <c r="B60">
        <v>9</v>
      </c>
      <c r="C60">
        <v>22</v>
      </c>
      <c r="D60">
        <v>16</v>
      </c>
    </row>
    <row r="61" spans="1:4" x14ac:dyDescent="0.2">
      <c r="A61">
        <v>2025</v>
      </c>
      <c r="B61">
        <v>9</v>
      </c>
      <c r="C61">
        <v>22</v>
      </c>
      <c r="D61">
        <v>17</v>
      </c>
    </row>
    <row r="62" spans="1:4" x14ac:dyDescent="0.2">
      <c r="A62">
        <v>2025</v>
      </c>
      <c r="B62">
        <v>9</v>
      </c>
      <c r="C62">
        <v>22</v>
      </c>
      <c r="D62">
        <v>18</v>
      </c>
    </row>
    <row r="63" spans="1:4" x14ac:dyDescent="0.2">
      <c r="A63">
        <v>2025</v>
      </c>
      <c r="B63">
        <v>9</v>
      </c>
      <c r="C63">
        <v>22</v>
      </c>
      <c r="D63">
        <v>19</v>
      </c>
    </row>
    <row r="64" spans="1:4" x14ac:dyDescent="0.2">
      <c r="A64">
        <v>2025</v>
      </c>
      <c r="B64">
        <v>9</v>
      </c>
      <c r="C64">
        <v>22</v>
      </c>
      <c r="D64">
        <v>20</v>
      </c>
    </row>
    <row r="65" spans="1:4" x14ac:dyDescent="0.2">
      <c r="A65">
        <v>2025</v>
      </c>
      <c r="B65">
        <v>9</v>
      </c>
      <c r="C65">
        <v>22</v>
      </c>
      <c r="D65">
        <v>21</v>
      </c>
    </row>
    <row r="66" spans="1:4" x14ac:dyDescent="0.2">
      <c r="A66">
        <v>2025</v>
      </c>
      <c r="B66">
        <v>9</v>
      </c>
      <c r="C66">
        <v>22</v>
      </c>
      <c r="D66">
        <v>22</v>
      </c>
    </row>
    <row r="67" spans="1:4" x14ac:dyDescent="0.2">
      <c r="A67">
        <v>2025</v>
      </c>
      <c r="B67">
        <v>9</v>
      </c>
      <c r="C67">
        <v>23</v>
      </c>
      <c r="D67">
        <v>9</v>
      </c>
    </row>
    <row r="68" spans="1:4" x14ac:dyDescent="0.2">
      <c r="A68">
        <v>2025</v>
      </c>
      <c r="B68">
        <v>9</v>
      </c>
      <c r="C68">
        <v>23</v>
      </c>
      <c r="D68">
        <v>10</v>
      </c>
    </row>
    <row r="69" spans="1:4" x14ac:dyDescent="0.2">
      <c r="A69">
        <v>2025</v>
      </c>
      <c r="B69">
        <v>9</v>
      </c>
      <c r="C69">
        <v>23</v>
      </c>
      <c r="D69">
        <v>11</v>
      </c>
    </row>
    <row r="70" spans="1:4" x14ac:dyDescent="0.2">
      <c r="A70">
        <v>2025</v>
      </c>
      <c r="B70">
        <v>9</v>
      </c>
      <c r="C70">
        <v>23</v>
      </c>
      <c r="D70">
        <v>12</v>
      </c>
    </row>
    <row r="71" spans="1:4" x14ac:dyDescent="0.2">
      <c r="A71">
        <v>2025</v>
      </c>
      <c r="B71">
        <v>9</v>
      </c>
      <c r="C71">
        <v>23</v>
      </c>
      <c r="D71">
        <v>13</v>
      </c>
    </row>
    <row r="72" spans="1:4" x14ac:dyDescent="0.2">
      <c r="A72">
        <v>2025</v>
      </c>
      <c r="B72">
        <v>9</v>
      </c>
      <c r="C72">
        <v>23</v>
      </c>
      <c r="D72">
        <v>14</v>
      </c>
    </row>
    <row r="73" spans="1:4" x14ac:dyDescent="0.2">
      <c r="A73">
        <v>2025</v>
      </c>
      <c r="B73">
        <v>9</v>
      </c>
      <c r="C73">
        <v>23</v>
      </c>
      <c r="D73">
        <v>15</v>
      </c>
    </row>
    <row r="74" spans="1:4" x14ac:dyDescent="0.2">
      <c r="A74">
        <v>2025</v>
      </c>
      <c r="B74">
        <v>9</v>
      </c>
      <c r="C74">
        <v>23</v>
      </c>
      <c r="D74">
        <v>16</v>
      </c>
    </row>
    <row r="75" spans="1:4" x14ac:dyDescent="0.2">
      <c r="A75">
        <v>2025</v>
      </c>
      <c r="B75">
        <v>9</v>
      </c>
      <c r="C75">
        <v>23</v>
      </c>
      <c r="D75">
        <v>17</v>
      </c>
    </row>
    <row r="76" spans="1:4" x14ac:dyDescent="0.2">
      <c r="A76">
        <v>2025</v>
      </c>
      <c r="B76">
        <v>9</v>
      </c>
      <c r="C76">
        <v>23</v>
      </c>
      <c r="D76">
        <v>18</v>
      </c>
    </row>
    <row r="77" spans="1:4" x14ac:dyDescent="0.2">
      <c r="A77">
        <v>2025</v>
      </c>
      <c r="B77">
        <v>9</v>
      </c>
      <c r="C77">
        <v>23</v>
      </c>
      <c r="D77">
        <v>19</v>
      </c>
    </row>
    <row r="78" spans="1:4" x14ac:dyDescent="0.2">
      <c r="A78">
        <v>2025</v>
      </c>
      <c r="B78">
        <v>9</v>
      </c>
      <c r="C78">
        <v>23</v>
      </c>
      <c r="D78">
        <v>20</v>
      </c>
    </row>
    <row r="79" spans="1:4" x14ac:dyDescent="0.2">
      <c r="A79">
        <v>2025</v>
      </c>
      <c r="B79">
        <v>9</v>
      </c>
      <c r="C79">
        <v>23</v>
      </c>
      <c r="D79">
        <v>21</v>
      </c>
    </row>
    <row r="80" spans="1:4" x14ac:dyDescent="0.2">
      <c r="A80">
        <v>2025</v>
      </c>
      <c r="B80">
        <v>9</v>
      </c>
      <c r="C80">
        <v>23</v>
      </c>
      <c r="D80">
        <v>22</v>
      </c>
    </row>
    <row r="81" spans="1:4" x14ac:dyDescent="0.2">
      <c r="A81">
        <v>2025</v>
      </c>
      <c r="B81">
        <v>9</v>
      </c>
      <c r="C81">
        <v>24</v>
      </c>
      <c r="D81">
        <v>9</v>
      </c>
    </row>
    <row r="82" spans="1:4" x14ac:dyDescent="0.2">
      <c r="A82">
        <v>2025</v>
      </c>
      <c r="B82">
        <v>9</v>
      </c>
      <c r="C82">
        <v>24</v>
      </c>
      <c r="D82">
        <v>10</v>
      </c>
    </row>
    <row r="83" spans="1:4" x14ac:dyDescent="0.2">
      <c r="A83">
        <v>2025</v>
      </c>
      <c r="B83">
        <v>9</v>
      </c>
      <c r="C83">
        <v>24</v>
      </c>
      <c r="D83">
        <v>11</v>
      </c>
    </row>
    <row r="84" spans="1:4" x14ac:dyDescent="0.2">
      <c r="A84">
        <v>2025</v>
      </c>
      <c r="B84">
        <v>9</v>
      </c>
      <c r="C84">
        <v>24</v>
      </c>
      <c r="D84">
        <v>12</v>
      </c>
    </row>
    <row r="85" spans="1:4" x14ac:dyDescent="0.2">
      <c r="A85">
        <v>2025</v>
      </c>
      <c r="B85">
        <v>9</v>
      </c>
      <c r="C85">
        <v>24</v>
      </c>
      <c r="D85">
        <v>13</v>
      </c>
    </row>
    <row r="86" spans="1:4" x14ac:dyDescent="0.2">
      <c r="A86">
        <v>2025</v>
      </c>
      <c r="B86">
        <v>9</v>
      </c>
      <c r="C86">
        <v>24</v>
      </c>
      <c r="D86">
        <v>14</v>
      </c>
    </row>
    <row r="87" spans="1:4" x14ac:dyDescent="0.2">
      <c r="A87">
        <v>2025</v>
      </c>
      <c r="B87">
        <v>9</v>
      </c>
      <c r="C87">
        <v>24</v>
      </c>
      <c r="D87">
        <v>15</v>
      </c>
    </row>
    <row r="88" spans="1:4" x14ac:dyDescent="0.2">
      <c r="A88">
        <v>2025</v>
      </c>
      <c r="B88">
        <v>9</v>
      </c>
      <c r="C88">
        <v>24</v>
      </c>
      <c r="D88">
        <v>16</v>
      </c>
    </row>
    <row r="89" spans="1:4" x14ac:dyDescent="0.2">
      <c r="A89">
        <v>2025</v>
      </c>
      <c r="B89">
        <v>9</v>
      </c>
      <c r="C89">
        <v>24</v>
      </c>
      <c r="D89">
        <v>17</v>
      </c>
    </row>
    <row r="90" spans="1:4" x14ac:dyDescent="0.2">
      <c r="A90">
        <v>2025</v>
      </c>
      <c r="B90">
        <v>9</v>
      </c>
      <c r="C90">
        <v>24</v>
      </c>
      <c r="D90">
        <v>18</v>
      </c>
    </row>
    <row r="91" spans="1:4" x14ac:dyDescent="0.2">
      <c r="A91">
        <v>2025</v>
      </c>
      <c r="B91">
        <v>9</v>
      </c>
      <c r="C91">
        <v>24</v>
      </c>
      <c r="D91">
        <v>19</v>
      </c>
    </row>
    <row r="92" spans="1:4" x14ac:dyDescent="0.2">
      <c r="A92">
        <v>2025</v>
      </c>
      <c r="B92">
        <v>9</v>
      </c>
      <c r="C92">
        <v>24</v>
      </c>
      <c r="D92">
        <v>20</v>
      </c>
    </row>
    <row r="93" spans="1:4" x14ac:dyDescent="0.2">
      <c r="A93">
        <v>2025</v>
      </c>
      <c r="B93">
        <v>9</v>
      </c>
      <c r="C93">
        <v>24</v>
      </c>
      <c r="D93">
        <v>21</v>
      </c>
    </row>
    <row r="94" spans="1:4" x14ac:dyDescent="0.2">
      <c r="A94">
        <v>2025</v>
      </c>
      <c r="B94">
        <v>9</v>
      </c>
      <c r="C94">
        <v>24</v>
      </c>
      <c r="D94">
        <v>22</v>
      </c>
    </row>
    <row r="95" spans="1:4" x14ac:dyDescent="0.2">
      <c r="A95">
        <v>2025</v>
      </c>
      <c r="B95">
        <v>9</v>
      </c>
      <c r="C95">
        <v>25</v>
      </c>
      <c r="D95">
        <v>9</v>
      </c>
    </row>
    <row r="96" spans="1:4" x14ac:dyDescent="0.2">
      <c r="A96">
        <v>2025</v>
      </c>
      <c r="B96">
        <v>9</v>
      </c>
      <c r="C96">
        <v>25</v>
      </c>
      <c r="D96">
        <v>10</v>
      </c>
    </row>
    <row r="97" spans="1:4" x14ac:dyDescent="0.2">
      <c r="A97">
        <v>2025</v>
      </c>
      <c r="B97">
        <v>9</v>
      </c>
      <c r="C97">
        <v>25</v>
      </c>
      <c r="D97">
        <v>11</v>
      </c>
    </row>
    <row r="98" spans="1:4" x14ac:dyDescent="0.2">
      <c r="A98">
        <v>2025</v>
      </c>
      <c r="B98">
        <v>9</v>
      </c>
      <c r="C98">
        <v>25</v>
      </c>
      <c r="D98">
        <v>12</v>
      </c>
    </row>
    <row r="99" spans="1:4" x14ac:dyDescent="0.2">
      <c r="A99">
        <v>2025</v>
      </c>
      <c r="B99">
        <v>9</v>
      </c>
      <c r="C99">
        <v>25</v>
      </c>
      <c r="D99">
        <v>13</v>
      </c>
    </row>
    <row r="100" spans="1:4" x14ac:dyDescent="0.2">
      <c r="A100">
        <v>2025</v>
      </c>
      <c r="B100">
        <v>9</v>
      </c>
      <c r="C100">
        <v>25</v>
      </c>
      <c r="D100">
        <v>14</v>
      </c>
    </row>
    <row r="101" spans="1:4" x14ac:dyDescent="0.2">
      <c r="A101">
        <v>2025</v>
      </c>
      <c r="B101">
        <v>9</v>
      </c>
      <c r="C101">
        <v>25</v>
      </c>
      <c r="D101">
        <v>15</v>
      </c>
    </row>
    <row r="102" spans="1:4" x14ac:dyDescent="0.2">
      <c r="A102">
        <v>2025</v>
      </c>
      <c r="B102">
        <v>9</v>
      </c>
      <c r="C102">
        <v>25</v>
      </c>
      <c r="D102">
        <v>16</v>
      </c>
    </row>
    <row r="103" spans="1:4" x14ac:dyDescent="0.2">
      <c r="A103">
        <v>2025</v>
      </c>
      <c r="B103">
        <v>9</v>
      </c>
      <c r="C103">
        <v>25</v>
      </c>
      <c r="D103">
        <v>17</v>
      </c>
    </row>
    <row r="104" spans="1:4" x14ac:dyDescent="0.2">
      <c r="A104">
        <v>2025</v>
      </c>
      <c r="B104">
        <v>9</v>
      </c>
      <c r="C104">
        <v>25</v>
      </c>
      <c r="D104">
        <v>18</v>
      </c>
    </row>
    <row r="105" spans="1:4" x14ac:dyDescent="0.2">
      <c r="A105">
        <v>2025</v>
      </c>
      <c r="B105">
        <v>9</v>
      </c>
      <c r="C105">
        <v>25</v>
      </c>
      <c r="D105">
        <v>19</v>
      </c>
    </row>
    <row r="106" spans="1:4" x14ac:dyDescent="0.2">
      <c r="A106">
        <v>2025</v>
      </c>
      <c r="B106">
        <v>9</v>
      </c>
      <c r="C106">
        <v>25</v>
      </c>
      <c r="D106">
        <v>20</v>
      </c>
    </row>
    <row r="107" spans="1:4" x14ac:dyDescent="0.2">
      <c r="A107">
        <v>2025</v>
      </c>
      <c r="B107">
        <v>9</v>
      </c>
      <c r="C107">
        <v>25</v>
      </c>
      <c r="D107">
        <v>21</v>
      </c>
    </row>
    <row r="108" spans="1:4" x14ac:dyDescent="0.2">
      <c r="A108">
        <v>2025</v>
      </c>
      <c r="B108">
        <v>9</v>
      </c>
      <c r="C108">
        <v>25</v>
      </c>
      <c r="D108">
        <v>22</v>
      </c>
    </row>
    <row r="109" spans="1:4" x14ac:dyDescent="0.2">
      <c r="A109">
        <v>2025</v>
      </c>
      <c r="B109">
        <v>9</v>
      </c>
      <c r="C109">
        <v>26</v>
      </c>
      <c r="D109">
        <v>9</v>
      </c>
    </row>
    <row r="110" spans="1:4" x14ac:dyDescent="0.2">
      <c r="A110">
        <v>2025</v>
      </c>
      <c r="B110">
        <v>9</v>
      </c>
      <c r="C110">
        <v>26</v>
      </c>
      <c r="D110">
        <v>10</v>
      </c>
    </row>
    <row r="111" spans="1:4" x14ac:dyDescent="0.2">
      <c r="A111">
        <v>2025</v>
      </c>
      <c r="B111">
        <v>9</v>
      </c>
      <c r="C111">
        <v>26</v>
      </c>
      <c r="D111">
        <v>11</v>
      </c>
    </row>
    <row r="112" spans="1:4" x14ac:dyDescent="0.2">
      <c r="A112">
        <v>2025</v>
      </c>
      <c r="B112">
        <v>9</v>
      </c>
      <c r="C112">
        <v>26</v>
      </c>
      <c r="D112">
        <v>12</v>
      </c>
    </row>
    <row r="113" spans="1:4" x14ac:dyDescent="0.2">
      <c r="A113">
        <v>2025</v>
      </c>
      <c r="B113">
        <v>9</v>
      </c>
      <c r="C113">
        <v>26</v>
      </c>
      <c r="D113">
        <v>13</v>
      </c>
    </row>
    <row r="114" spans="1:4" x14ac:dyDescent="0.2">
      <c r="A114">
        <v>2025</v>
      </c>
      <c r="B114">
        <v>9</v>
      </c>
      <c r="C114">
        <v>26</v>
      </c>
      <c r="D114">
        <v>14</v>
      </c>
    </row>
    <row r="115" spans="1:4" x14ac:dyDescent="0.2">
      <c r="A115">
        <v>2025</v>
      </c>
      <c r="B115">
        <v>9</v>
      </c>
      <c r="C115">
        <v>26</v>
      </c>
      <c r="D115">
        <v>15</v>
      </c>
    </row>
    <row r="116" spans="1:4" x14ac:dyDescent="0.2">
      <c r="A116">
        <v>2025</v>
      </c>
      <c r="B116">
        <v>9</v>
      </c>
      <c r="C116">
        <v>26</v>
      </c>
      <c r="D116">
        <v>16</v>
      </c>
    </row>
    <row r="117" spans="1:4" x14ac:dyDescent="0.2">
      <c r="A117">
        <v>2025</v>
      </c>
      <c r="B117">
        <v>9</v>
      </c>
      <c r="C117">
        <v>26</v>
      </c>
      <c r="D117">
        <v>17</v>
      </c>
    </row>
    <row r="118" spans="1:4" x14ac:dyDescent="0.2">
      <c r="A118">
        <v>2025</v>
      </c>
      <c r="B118">
        <v>9</v>
      </c>
      <c r="C118">
        <v>26</v>
      </c>
      <c r="D118">
        <v>18</v>
      </c>
    </row>
    <row r="119" spans="1:4" x14ac:dyDescent="0.2">
      <c r="A119">
        <v>2025</v>
      </c>
      <c r="B119">
        <v>9</v>
      </c>
      <c r="C119">
        <v>26</v>
      </c>
      <c r="D119">
        <v>19</v>
      </c>
    </row>
    <row r="120" spans="1:4" x14ac:dyDescent="0.2">
      <c r="A120">
        <v>2025</v>
      </c>
      <c r="B120">
        <v>9</v>
      </c>
      <c r="C120">
        <v>26</v>
      </c>
      <c r="D120">
        <v>20</v>
      </c>
    </row>
    <row r="121" spans="1:4" x14ac:dyDescent="0.2">
      <c r="A121">
        <v>2025</v>
      </c>
      <c r="B121">
        <v>9</v>
      </c>
      <c r="C121">
        <v>26</v>
      </c>
      <c r="D121">
        <v>21</v>
      </c>
    </row>
    <row r="122" spans="1:4" x14ac:dyDescent="0.2">
      <c r="A122">
        <v>2025</v>
      </c>
      <c r="B122">
        <v>9</v>
      </c>
      <c r="C122">
        <v>26</v>
      </c>
      <c r="D122">
        <v>22</v>
      </c>
    </row>
    <row r="123" spans="1:4" x14ac:dyDescent="0.2">
      <c r="A123">
        <v>2025</v>
      </c>
      <c r="B123">
        <v>9</v>
      </c>
      <c r="C123">
        <v>27</v>
      </c>
      <c r="D123">
        <v>9</v>
      </c>
    </row>
    <row r="124" spans="1:4" x14ac:dyDescent="0.2">
      <c r="A124">
        <v>2025</v>
      </c>
      <c r="B124">
        <v>9</v>
      </c>
      <c r="C124">
        <v>27</v>
      </c>
      <c r="D124">
        <v>10</v>
      </c>
    </row>
    <row r="125" spans="1:4" x14ac:dyDescent="0.2">
      <c r="A125">
        <v>2025</v>
      </c>
      <c r="B125">
        <v>9</v>
      </c>
      <c r="C125">
        <v>27</v>
      </c>
      <c r="D125">
        <v>11</v>
      </c>
    </row>
    <row r="126" spans="1:4" x14ac:dyDescent="0.2">
      <c r="A126">
        <v>2025</v>
      </c>
      <c r="B126">
        <v>9</v>
      </c>
      <c r="C126">
        <v>27</v>
      </c>
      <c r="D126">
        <v>12</v>
      </c>
    </row>
    <row r="127" spans="1:4" x14ac:dyDescent="0.2">
      <c r="A127">
        <v>2025</v>
      </c>
      <c r="B127">
        <v>9</v>
      </c>
      <c r="C127">
        <v>27</v>
      </c>
      <c r="D127">
        <v>13</v>
      </c>
    </row>
    <row r="128" spans="1:4" x14ac:dyDescent="0.2">
      <c r="A128">
        <v>2025</v>
      </c>
      <c r="B128">
        <v>9</v>
      </c>
      <c r="C128">
        <v>27</v>
      </c>
      <c r="D128">
        <v>14</v>
      </c>
    </row>
    <row r="129" spans="1:4" x14ac:dyDescent="0.2">
      <c r="A129">
        <v>2025</v>
      </c>
      <c r="B129">
        <v>9</v>
      </c>
      <c r="C129">
        <v>27</v>
      </c>
      <c r="D129">
        <v>15</v>
      </c>
    </row>
    <row r="130" spans="1:4" x14ac:dyDescent="0.2">
      <c r="A130">
        <v>2025</v>
      </c>
      <c r="B130">
        <v>9</v>
      </c>
      <c r="C130">
        <v>27</v>
      </c>
      <c r="D130">
        <v>16</v>
      </c>
    </row>
    <row r="131" spans="1:4" x14ac:dyDescent="0.2">
      <c r="A131">
        <v>2025</v>
      </c>
      <c r="B131">
        <v>9</v>
      </c>
      <c r="C131">
        <v>27</v>
      </c>
      <c r="D131">
        <v>17</v>
      </c>
    </row>
    <row r="132" spans="1:4" x14ac:dyDescent="0.2">
      <c r="A132">
        <v>2025</v>
      </c>
      <c r="B132">
        <v>9</v>
      </c>
      <c r="C132">
        <v>27</v>
      </c>
      <c r="D132">
        <v>18</v>
      </c>
    </row>
    <row r="133" spans="1:4" x14ac:dyDescent="0.2">
      <c r="A133">
        <v>2025</v>
      </c>
      <c r="B133">
        <v>9</v>
      </c>
      <c r="C133">
        <v>27</v>
      </c>
      <c r="D133">
        <v>19</v>
      </c>
    </row>
    <row r="134" spans="1:4" x14ac:dyDescent="0.2">
      <c r="A134">
        <v>2025</v>
      </c>
      <c r="B134">
        <v>9</v>
      </c>
      <c r="C134">
        <v>27</v>
      </c>
      <c r="D134">
        <v>20</v>
      </c>
    </row>
    <row r="135" spans="1:4" x14ac:dyDescent="0.2">
      <c r="A135">
        <v>2025</v>
      </c>
      <c r="B135">
        <v>9</v>
      </c>
      <c r="C135">
        <v>27</v>
      </c>
      <c r="D135">
        <v>21</v>
      </c>
    </row>
    <row r="136" spans="1:4" x14ac:dyDescent="0.2">
      <c r="A136">
        <v>2025</v>
      </c>
      <c r="B136">
        <v>9</v>
      </c>
      <c r="C136">
        <v>27</v>
      </c>
      <c r="D136">
        <v>22</v>
      </c>
    </row>
    <row r="137" spans="1:4" x14ac:dyDescent="0.2">
      <c r="A137">
        <v>2025</v>
      </c>
      <c r="B137">
        <v>9</v>
      </c>
      <c r="C137">
        <v>28</v>
      </c>
      <c r="D137">
        <v>9</v>
      </c>
    </row>
    <row r="138" spans="1:4" x14ac:dyDescent="0.2">
      <c r="A138">
        <v>2025</v>
      </c>
      <c r="B138">
        <v>9</v>
      </c>
      <c r="C138">
        <v>28</v>
      </c>
      <c r="D138">
        <v>10</v>
      </c>
    </row>
    <row r="139" spans="1:4" x14ac:dyDescent="0.2">
      <c r="A139">
        <v>2025</v>
      </c>
      <c r="B139">
        <v>9</v>
      </c>
      <c r="C139">
        <v>28</v>
      </c>
      <c r="D139">
        <v>11</v>
      </c>
    </row>
    <row r="140" spans="1:4" x14ac:dyDescent="0.2">
      <c r="A140">
        <v>2025</v>
      </c>
      <c r="B140">
        <v>9</v>
      </c>
      <c r="C140">
        <v>28</v>
      </c>
      <c r="D140">
        <v>12</v>
      </c>
    </row>
    <row r="141" spans="1:4" x14ac:dyDescent="0.2">
      <c r="A141">
        <v>2025</v>
      </c>
      <c r="B141">
        <v>9</v>
      </c>
      <c r="C141">
        <v>28</v>
      </c>
      <c r="D141">
        <v>13</v>
      </c>
    </row>
    <row r="142" spans="1:4" x14ac:dyDescent="0.2">
      <c r="A142">
        <v>2025</v>
      </c>
      <c r="B142">
        <v>9</v>
      </c>
      <c r="C142">
        <v>28</v>
      </c>
      <c r="D142">
        <v>14</v>
      </c>
    </row>
    <row r="143" spans="1:4" x14ac:dyDescent="0.2">
      <c r="A143">
        <v>2025</v>
      </c>
      <c r="B143">
        <v>9</v>
      </c>
      <c r="C143">
        <v>28</v>
      </c>
      <c r="D143">
        <v>15</v>
      </c>
    </row>
    <row r="144" spans="1:4" x14ac:dyDescent="0.2">
      <c r="A144">
        <v>2025</v>
      </c>
      <c r="B144">
        <v>9</v>
      </c>
      <c r="C144">
        <v>28</v>
      </c>
      <c r="D144">
        <v>16</v>
      </c>
    </row>
    <row r="145" spans="1:4" x14ac:dyDescent="0.2">
      <c r="A145">
        <v>2025</v>
      </c>
      <c r="B145">
        <v>9</v>
      </c>
      <c r="C145">
        <v>28</v>
      </c>
      <c r="D145">
        <v>17</v>
      </c>
    </row>
    <row r="146" spans="1:4" x14ac:dyDescent="0.2">
      <c r="A146">
        <v>2025</v>
      </c>
      <c r="B146">
        <v>9</v>
      </c>
      <c r="C146">
        <v>28</v>
      </c>
      <c r="D146">
        <v>18</v>
      </c>
    </row>
    <row r="147" spans="1:4" x14ac:dyDescent="0.2">
      <c r="A147">
        <v>2025</v>
      </c>
      <c r="B147">
        <v>9</v>
      </c>
      <c r="C147">
        <v>28</v>
      </c>
      <c r="D147">
        <v>19</v>
      </c>
    </row>
    <row r="148" spans="1:4" x14ac:dyDescent="0.2">
      <c r="A148">
        <v>2025</v>
      </c>
      <c r="B148">
        <v>9</v>
      </c>
      <c r="C148">
        <v>28</v>
      </c>
      <c r="D148">
        <v>20</v>
      </c>
    </row>
    <row r="149" spans="1:4" x14ac:dyDescent="0.2">
      <c r="A149">
        <v>2025</v>
      </c>
      <c r="B149">
        <v>9</v>
      </c>
      <c r="C149">
        <v>28</v>
      </c>
      <c r="D149">
        <v>21</v>
      </c>
    </row>
    <row r="150" spans="1:4" x14ac:dyDescent="0.2">
      <c r="A150">
        <v>2025</v>
      </c>
      <c r="B150">
        <v>9</v>
      </c>
      <c r="C150">
        <v>28</v>
      </c>
      <c r="D150">
        <v>22</v>
      </c>
    </row>
    <row r="151" spans="1:4" x14ac:dyDescent="0.2">
      <c r="A151">
        <v>2025</v>
      </c>
      <c r="B151">
        <v>9</v>
      </c>
      <c r="C151">
        <v>29</v>
      </c>
      <c r="D151">
        <v>9</v>
      </c>
    </row>
    <row r="152" spans="1:4" x14ac:dyDescent="0.2">
      <c r="A152">
        <v>2025</v>
      </c>
      <c r="B152">
        <v>9</v>
      </c>
      <c r="C152">
        <v>29</v>
      </c>
      <c r="D152">
        <v>10</v>
      </c>
    </row>
    <row r="153" spans="1:4" x14ac:dyDescent="0.2">
      <c r="A153">
        <v>2025</v>
      </c>
      <c r="B153">
        <v>9</v>
      </c>
      <c r="C153">
        <v>29</v>
      </c>
      <c r="D153">
        <v>11</v>
      </c>
    </row>
    <row r="154" spans="1:4" x14ac:dyDescent="0.2">
      <c r="A154">
        <v>2025</v>
      </c>
      <c r="B154">
        <v>9</v>
      </c>
      <c r="C154">
        <v>29</v>
      </c>
      <c r="D154">
        <v>12</v>
      </c>
    </row>
    <row r="155" spans="1:4" x14ac:dyDescent="0.2">
      <c r="A155">
        <v>2025</v>
      </c>
      <c r="B155">
        <v>9</v>
      </c>
      <c r="C155">
        <v>29</v>
      </c>
      <c r="D155">
        <v>13</v>
      </c>
    </row>
    <row r="156" spans="1:4" x14ac:dyDescent="0.2">
      <c r="A156">
        <v>2025</v>
      </c>
      <c r="B156">
        <v>9</v>
      </c>
      <c r="C156">
        <v>29</v>
      </c>
      <c r="D156">
        <v>14</v>
      </c>
    </row>
    <row r="157" spans="1:4" x14ac:dyDescent="0.2">
      <c r="A157">
        <v>2025</v>
      </c>
      <c r="B157">
        <v>9</v>
      </c>
      <c r="C157">
        <v>29</v>
      </c>
      <c r="D157">
        <v>15</v>
      </c>
    </row>
    <row r="158" spans="1:4" x14ac:dyDescent="0.2">
      <c r="A158">
        <v>2025</v>
      </c>
      <c r="B158">
        <v>9</v>
      </c>
      <c r="C158">
        <v>29</v>
      </c>
      <c r="D158">
        <v>16</v>
      </c>
    </row>
    <row r="159" spans="1:4" x14ac:dyDescent="0.2">
      <c r="A159">
        <v>2025</v>
      </c>
      <c r="B159">
        <v>9</v>
      </c>
      <c r="C159">
        <v>29</v>
      </c>
      <c r="D159">
        <v>17</v>
      </c>
    </row>
    <row r="160" spans="1:4" x14ac:dyDescent="0.2">
      <c r="A160">
        <v>2025</v>
      </c>
      <c r="B160">
        <v>9</v>
      </c>
      <c r="C160">
        <v>29</v>
      </c>
      <c r="D160">
        <v>18</v>
      </c>
    </row>
    <row r="161" spans="1:4" x14ac:dyDescent="0.2">
      <c r="A161">
        <v>2025</v>
      </c>
      <c r="B161">
        <v>9</v>
      </c>
      <c r="C161">
        <v>29</v>
      </c>
      <c r="D161">
        <v>19</v>
      </c>
    </row>
    <row r="162" spans="1:4" x14ac:dyDescent="0.2">
      <c r="A162">
        <v>2025</v>
      </c>
      <c r="B162">
        <v>9</v>
      </c>
      <c r="C162">
        <v>29</v>
      </c>
      <c r="D162">
        <v>20</v>
      </c>
    </row>
    <row r="163" spans="1:4" x14ac:dyDescent="0.2">
      <c r="A163">
        <v>2025</v>
      </c>
      <c r="B163">
        <v>9</v>
      </c>
      <c r="C163">
        <v>29</v>
      </c>
      <c r="D163">
        <v>21</v>
      </c>
    </row>
    <row r="164" spans="1:4" x14ac:dyDescent="0.2">
      <c r="A164">
        <v>2025</v>
      </c>
      <c r="B164">
        <v>9</v>
      </c>
      <c r="C164">
        <v>29</v>
      </c>
      <c r="D164">
        <v>22</v>
      </c>
    </row>
    <row r="165" spans="1:4" x14ac:dyDescent="0.2">
      <c r="A165">
        <v>2025</v>
      </c>
      <c r="B165">
        <v>9</v>
      </c>
      <c r="C165">
        <v>29</v>
      </c>
      <c r="D165">
        <v>23</v>
      </c>
    </row>
    <row r="166" spans="1:4" x14ac:dyDescent="0.2">
      <c r="A166">
        <v>2025</v>
      </c>
      <c r="B166">
        <v>9</v>
      </c>
      <c r="C166">
        <v>29</v>
      </c>
      <c r="D166">
        <v>24</v>
      </c>
    </row>
    <row r="167" spans="1:4" x14ac:dyDescent="0.2">
      <c r="A167">
        <v>2025</v>
      </c>
      <c r="B167">
        <v>9</v>
      </c>
      <c r="C167">
        <v>30</v>
      </c>
      <c r="D167">
        <v>1</v>
      </c>
    </row>
    <row r="168" spans="1:4" x14ac:dyDescent="0.2">
      <c r="A168">
        <v>2025</v>
      </c>
      <c r="B168">
        <v>9</v>
      </c>
      <c r="C168">
        <v>30</v>
      </c>
      <c r="D168">
        <v>2</v>
      </c>
    </row>
    <row r="169" spans="1:4" x14ac:dyDescent="0.2">
      <c r="A169">
        <v>2025</v>
      </c>
      <c r="B169">
        <v>9</v>
      </c>
      <c r="C169">
        <v>30</v>
      </c>
      <c r="D169">
        <v>3</v>
      </c>
    </row>
    <row r="170" spans="1:4" x14ac:dyDescent="0.2">
      <c r="A170">
        <v>2025</v>
      </c>
      <c r="B170">
        <v>9</v>
      </c>
      <c r="C170">
        <v>30</v>
      </c>
      <c r="D170">
        <v>4</v>
      </c>
    </row>
    <row r="171" spans="1:4" x14ac:dyDescent="0.2">
      <c r="A171">
        <v>2025</v>
      </c>
      <c r="B171">
        <v>9</v>
      </c>
      <c r="C171">
        <v>30</v>
      </c>
      <c r="D171">
        <v>5</v>
      </c>
    </row>
    <row r="172" spans="1:4" x14ac:dyDescent="0.2">
      <c r="A172">
        <v>2025</v>
      </c>
      <c r="B172">
        <v>9</v>
      </c>
      <c r="C172">
        <v>30</v>
      </c>
      <c r="D172">
        <v>6</v>
      </c>
    </row>
    <row r="173" spans="1:4" x14ac:dyDescent="0.2">
      <c r="A173">
        <v>2025</v>
      </c>
      <c r="B173">
        <v>9</v>
      </c>
      <c r="C173">
        <v>30</v>
      </c>
      <c r="D173">
        <v>7</v>
      </c>
    </row>
    <row r="174" spans="1:4" x14ac:dyDescent="0.2">
      <c r="A174">
        <v>2025</v>
      </c>
      <c r="B174">
        <v>9</v>
      </c>
      <c r="C174">
        <v>30</v>
      </c>
      <c r="D174">
        <v>8</v>
      </c>
    </row>
    <row r="175" spans="1:4" x14ac:dyDescent="0.2">
      <c r="A175">
        <v>2025</v>
      </c>
      <c r="B175">
        <v>9</v>
      </c>
      <c r="C175">
        <v>30</v>
      </c>
      <c r="D175">
        <v>9</v>
      </c>
    </row>
    <row r="176" spans="1:4" x14ac:dyDescent="0.2">
      <c r="A176">
        <v>2025</v>
      </c>
      <c r="B176">
        <v>9</v>
      </c>
      <c r="C176">
        <v>30</v>
      </c>
      <c r="D176">
        <v>10</v>
      </c>
    </row>
    <row r="177" spans="1:4" x14ac:dyDescent="0.2">
      <c r="A177">
        <v>2025</v>
      </c>
      <c r="B177">
        <v>9</v>
      </c>
      <c r="C177">
        <v>30</v>
      </c>
      <c r="D177">
        <v>11</v>
      </c>
    </row>
    <row r="178" spans="1:4" x14ac:dyDescent="0.2">
      <c r="A178">
        <v>2025</v>
      </c>
      <c r="B178">
        <v>9</v>
      </c>
      <c r="C178">
        <v>30</v>
      </c>
      <c r="D178">
        <v>12</v>
      </c>
    </row>
    <row r="179" spans="1:4" x14ac:dyDescent="0.2">
      <c r="A179">
        <v>2025</v>
      </c>
      <c r="B179">
        <v>9</v>
      </c>
      <c r="C179">
        <v>30</v>
      </c>
      <c r="D179">
        <v>13</v>
      </c>
    </row>
    <row r="180" spans="1:4" x14ac:dyDescent="0.2">
      <c r="A180">
        <v>2025</v>
      </c>
      <c r="B180">
        <v>9</v>
      </c>
      <c r="C180">
        <v>30</v>
      </c>
      <c r="D180">
        <v>14</v>
      </c>
    </row>
    <row r="181" spans="1:4" x14ac:dyDescent="0.2">
      <c r="A181">
        <v>2025</v>
      </c>
      <c r="B181">
        <v>9</v>
      </c>
      <c r="C181">
        <v>30</v>
      </c>
      <c r="D181">
        <v>15</v>
      </c>
    </row>
    <row r="182" spans="1:4" x14ac:dyDescent="0.2">
      <c r="A182">
        <v>2025</v>
      </c>
      <c r="B182">
        <v>9</v>
      </c>
      <c r="C182">
        <v>30</v>
      </c>
      <c r="D182">
        <v>16</v>
      </c>
    </row>
    <row r="183" spans="1:4" x14ac:dyDescent="0.2">
      <c r="A183">
        <v>2025</v>
      </c>
      <c r="B183">
        <v>9</v>
      </c>
      <c r="C183">
        <v>30</v>
      </c>
      <c r="D183">
        <v>17</v>
      </c>
    </row>
    <row r="184" spans="1:4" x14ac:dyDescent="0.2">
      <c r="A184">
        <v>2025</v>
      </c>
      <c r="B184">
        <v>9</v>
      </c>
      <c r="C184">
        <v>30</v>
      </c>
      <c r="D184">
        <v>18</v>
      </c>
    </row>
    <row r="185" spans="1:4" x14ac:dyDescent="0.2">
      <c r="A185">
        <v>2025</v>
      </c>
      <c r="B185">
        <v>9</v>
      </c>
      <c r="C185">
        <v>30</v>
      </c>
      <c r="D185">
        <v>19</v>
      </c>
    </row>
    <row r="186" spans="1:4" x14ac:dyDescent="0.2">
      <c r="A186">
        <v>2025</v>
      </c>
      <c r="B186">
        <v>9</v>
      </c>
      <c r="C186">
        <v>30</v>
      </c>
      <c r="D186">
        <v>20</v>
      </c>
    </row>
    <row r="187" spans="1:4" x14ac:dyDescent="0.2">
      <c r="A187">
        <v>2025</v>
      </c>
      <c r="B187">
        <v>9</v>
      </c>
      <c r="C187">
        <v>30</v>
      </c>
      <c r="D187">
        <v>21</v>
      </c>
    </row>
    <row r="188" spans="1:4" x14ac:dyDescent="0.2">
      <c r="A188">
        <v>2025</v>
      </c>
      <c r="B188">
        <v>9</v>
      </c>
      <c r="C188">
        <v>30</v>
      </c>
      <c r="D188">
        <v>22</v>
      </c>
    </row>
    <row r="189" spans="1:4" x14ac:dyDescent="0.2">
      <c r="A189">
        <v>2025</v>
      </c>
      <c r="B189">
        <v>9</v>
      </c>
      <c r="C189">
        <v>30</v>
      </c>
      <c r="D189">
        <v>23</v>
      </c>
    </row>
    <row r="190" spans="1:4" x14ac:dyDescent="0.2">
      <c r="A190">
        <v>2025</v>
      </c>
      <c r="B190">
        <v>9</v>
      </c>
      <c r="C190">
        <v>30</v>
      </c>
      <c r="D190">
        <v>24</v>
      </c>
    </row>
    <row r="191" spans="1:4" x14ac:dyDescent="0.2">
      <c r="A191">
        <v>2025</v>
      </c>
      <c r="B191">
        <v>10</v>
      </c>
      <c r="C191">
        <v>1</v>
      </c>
      <c r="D191">
        <v>1</v>
      </c>
    </row>
    <row r="192" spans="1:4" x14ac:dyDescent="0.2">
      <c r="A192">
        <v>2025</v>
      </c>
      <c r="B192">
        <v>10</v>
      </c>
      <c r="C192">
        <v>1</v>
      </c>
      <c r="D192">
        <v>2</v>
      </c>
    </row>
    <row r="193" spans="1:4" x14ac:dyDescent="0.2">
      <c r="A193">
        <v>2025</v>
      </c>
      <c r="B193">
        <v>10</v>
      </c>
      <c r="C193">
        <v>1</v>
      </c>
      <c r="D193">
        <v>3</v>
      </c>
    </row>
    <row r="194" spans="1:4" x14ac:dyDescent="0.2">
      <c r="A194">
        <v>2025</v>
      </c>
      <c r="B194">
        <v>10</v>
      </c>
      <c r="C194">
        <v>1</v>
      </c>
      <c r="D194">
        <v>4</v>
      </c>
    </row>
    <row r="195" spans="1:4" x14ac:dyDescent="0.2">
      <c r="A195">
        <v>2025</v>
      </c>
      <c r="B195">
        <v>10</v>
      </c>
      <c r="C195">
        <v>1</v>
      </c>
      <c r="D195">
        <v>5</v>
      </c>
    </row>
    <row r="196" spans="1:4" x14ac:dyDescent="0.2">
      <c r="A196">
        <v>2025</v>
      </c>
      <c r="B196">
        <v>10</v>
      </c>
      <c r="C196">
        <v>1</v>
      </c>
      <c r="D196">
        <v>6</v>
      </c>
    </row>
    <row r="197" spans="1:4" x14ac:dyDescent="0.2">
      <c r="A197">
        <v>2025</v>
      </c>
      <c r="B197">
        <v>10</v>
      </c>
      <c r="C197">
        <v>1</v>
      </c>
      <c r="D197">
        <v>7</v>
      </c>
    </row>
    <row r="198" spans="1:4" x14ac:dyDescent="0.2">
      <c r="A198">
        <v>2025</v>
      </c>
      <c r="B198">
        <v>10</v>
      </c>
      <c r="C198">
        <v>1</v>
      </c>
      <c r="D198">
        <v>9</v>
      </c>
    </row>
    <row r="199" spans="1:4" x14ac:dyDescent="0.2">
      <c r="A199">
        <v>2025</v>
      </c>
      <c r="B199">
        <v>10</v>
      </c>
      <c r="C199">
        <v>1</v>
      </c>
      <c r="D199">
        <v>10</v>
      </c>
    </row>
    <row r="200" spans="1:4" x14ac:dyDescent="0.2">
      <c r="A200">
        <v>2025</v>
      </c>
      <c r="B200">
        <v>10</v>
      </c>
      <c r="C200">
        <v>1</v>
      </c>
      <c r="D200">
        <v>11</v>
      </c>
    </row>
    <row r="201" spans="1:4" x14ac:dyDescent="0.2">
      <c r="A201">
        <v>2025</v>
      </c>
      <c r="B201">
        <v>10</v>
      </c>
      <c r="C201">
        <v>1</v>
      </c>
      <c r="D201">
        <v>12</v>
      </c>
    </row>
    <row r="202" spans="1:4" x14ac:dyDescent="0.2">
      <c r="A202">
        <v>2025</v>
      </c>
      <c r="B202">
        <v>10</v>
      </c>
      <c r="C202">
        <v>1</v>
      </c>
      <c r="D202">
        <v>13</v>
      </c>
    </row>
    <row r="203" spans="1:4" x14ac:dyDescent="0.2">
      <c r="A203">
        <v>2025</v>
      </c>
      <c r="B203">
        <v>10</v>
      </c>
      <c r="C203">
        <v>1</v>
      </c>
      <c r="D203">
        <v>14</v>
      </c>
    </row>
    <row r="204" spans="1:4" x14ac:dyDescent="0.2">
      <c r="A204">
        <v>2025</v>
      </c>
      <c r="B204">
        <v>10</v>
      </c>
      <c r="C204">
        <v>1</v>
      </c>
      <c r="D204">
        <v>15</v>
      </c>
    </row>
    <row r="205" spans="1:4" x14ac:dyDescent="0.2">
      <c r="A205">
        <v>2025</v>
      </c>
      <c r="B205">
        <v>10</v>
      </c>
      <c r="C205">
        <v>1</v>
      </c>
      <c r="D205">
        <v>16</v>
      </c>
    </row>
    <row r="206" spans="1:4" x14ac:dyDescent="0.2">
      <c r="A206">
        <v>2025</v>
      </c>
      <c r="B206">
        <v>10</v>
      </c>
      <c r="C206">
        <v>1</v>
      </c>
      <c r="D206">
        <v>17</v>
      </c>
    </row>
    <row r="207" spans="1:4" x14ac:dyDescent="0.2">
      <c r="A207">
        <v>2025</v>
      </c>
      <c r="B207">
        <v>10</v>
      </c>
      <c r="C207">
        <v>1</v>
      </c>
      <c r="D207">
        <v>18</v>
      </c>
    </row>
    <row r="208" spans="1:4" x14ac:dyDescent="0.2">
      <c r="A208">
        <v>2025</v>
      </c>
      <c r="B208">
        <v>10</v>
      </c>
      <c r="C208">
        <v>1</v>
      </c>
      <c r="D208">
        <v>19</v>
      </c>
    </row>
    <row r="209" spans="1:4" x14ac:dyDescent="0.2">
      <c r="A209">
        <v>2025</v>
      </c>
      <c r="B209">
        <v>10</v>
      </c>
      <c r="C209">
        <v>1</v>
      </c>
      <c r="D209">
        <v>20</v>
      </c>
    </row>
    <row r="210" spans="1:4" x14ac:dyDescent="0.2">
      <c r="A210">
        <v>2025</v>
      </c>
      <c r="B210">
        <v>10</v>
      </c>
      <c r="C210">
        <v>1</v>
      </c>
      <c r="D210">
        <v>21</v>
      </c>
    </row>
    <row r="211" spans="1:4" x14ac:dyDescent="0.2">
      <c r="A211">
        <v>2025</v>
      </c>
      <c r="B211">
        <v>10</v>
      </c>
      <c r="C211">
        <v>1</v>
      </c>
      <c r="D211">
        <v>22</v>
      </c>
    </row>
    <row r="212" spans="1:4" x14ac:dyDescent="0.2">
      <c r="A212">
        <v>2025</v>
      </c>
      <c r="B212">
        <v>10</v>
      </c>
      <c r="C212">
        <v>1</v>
      </c>
      <c r="D212">
        <v>23</v>
      </c>
    </row>
    <row r="213" spans="1:4" x14ac:dyDescent="0.2">
      <c r="A213">
        <v>2025</v>
      </c>
      <c r="B213">
        <v>10</v>
      </c>
      <c r="C213">
        <v>1</v>
      </c>
      <c r="D213">
        <v>24</v>
      </c>
    </row>
    <row r="214" spans="1:4" x14ac:dyDescent="0.2">
      <c r="A214">
        <v>2025</v>
      </c>
      <c r="B214">
        <v>10</v>
      </c>
      <c r="C214">
        <v>2</v>
      </c>
      <c r="D214">
        <v>1</v>
      </c>
    </row>
    <row r="215" spans="1:4" x14ac:dyDescent="0.2">
      <c r="A215">
        <v>2025</v>
      </c>
      <c r="B215">
        <v>10</v>
      </c>
      <c r="C215">
        <v>2</v>
      </c>
      <c r="D215">
        <v>2</v>
      </c>
    </row>
    <row r="216" spans="1:4" x14ac:dyDescent="0.2">
      <c r="A216">
        <v>2025</v>
      </c>
      <c r="B216">
        <v>10</v>
      </c>
      <c r="C216">
        <v>2</v>
      </c>
      <c r="D216">
        <v>3</v>
      </c>
    </row>
    <row r="217" spans="1:4" x14ac:dyDescent="0.2">
      <c r="A217">
        <v>2025</v>
      </c>
      <c r="B217">
        <v>10</v>
      </c>
      <c r="C217">
        <v>2</v>
      </c>
      <c r="D217">
        <v>4</v>
      </c>
    </row>
    <row r="218" spans="1:4" x14ac:dyDescent="0.2">
      <c r="A218">
        <v>2025</v>
      </c>
      <c r="B218">
        <v>10</v>
      </c>
      <c r="C218">
        <v>2</v>
      </c>
      <c r="D218">
        <v>5</v>
      </c>
    </row>
    <row r="219" spans="1:4" x14ac:dyDescent="0.2">
      <c r="A219">
        <v>2025</v>
      </c>
      <c r="B219">
        <v>10</v>
      </c>
      <c r="C219">
        <v>2</v>
      </c>
      <c r="D219">
        <v>6</v>
      </c>
    </row>
    <row r="220" spans="1:4" x14ac:dyDescent="0.2">
      <c r="A220">
        <v>2025</v>
      </c>
      <c r="B220">
        <v>10</v>
      </c>
      <c r="C220">
        <v>2</v>
      </c>
      <c r="D220">
        <v>9</v>
      </c>
    </row>
    <row r="221" spans="1:4" x14ac:dyDescent="0.2">
      <c r="A221">
        <v>2025</v>
      </c>
      <c r="B221">
        <v>10</v>
      </c>
      <c r="C221">
        <v>2</v>
      </c>
      <c r="D221">
        <v>10</v>
      </c>
    </row>
    <row r="222" spans="1:4" x14ac:dyDescent="0.2">
      <c r="A222">
        <v>2025</v>
      </c>
      <c r="B222">
        <v>10</v>
      </c>
      <c r="C222">
        <v>3</v>
      </c>
      <c r="D222">
        <v>22</v>
      </c>
    </row>
    <row r="223" spans="1:4" x14ac:dyDescent="0.2">
      <c r="A223">
        <v>2025</v>
      </c>
      <c r="B223">
        <v>10</v>
      </c>
      <c r="C223">
        <v>3</v>
      </c>
      <c r="D223">
        <v>23</v>
      </c>
    </row>
    <row r="224" spans="1:4" x14ac:dyDescent="0.2">
      <c r="A224">
        <v>2025</v>
      </c>
      <c r="B224">
        <v>10</v>
      </c>
      <c r="C224">
        <v>3</v>
      </c>
      <c r="D224">
        <v>24</v>
      </c>
    </row>
    <row r="225" spans="1:4" x14ac:dyDescent="0.2">
      <c r="A225">
        <v>2025</v>
      </c>
      <c r="B225">
        <v>10</v>
      </c>
      <c r="C225">
        <v>4</v>
      </c>
      <c r="D225">
        <v>1</v>
      </c>
    </row>
    <row r="226" spans="1:4" x14ac:dyDescent="0.2">
      <c r="A226">
        <v>2025</v>
      </c>
      <c r="B226">
        <v>10</v>
      </c>
      <c r="C226">
        <v>4</v>
      </c>
      <c r="D226">
        <v>2</v>
      </c>
    </row>
    <row r="227" spans="1:4" x14ac:dyDescent="0.2">
      <c r="A227">
        <v>2025</v>
      </c>
      <c r="B227">
        <v>10</v>
      </c>
      <c r="C227">
        <v>4</v>
      </c>
      <c r="D227">
        <v>3</v>
      </c>
    </row>
    <row r="228" spans="1:4" x14ac:dyDescent="0.2">
      <c r="A228">
        <v>2025</v>
      </c>
      <c r="B228">
        <v>10</v>
      </c>
      <c r="C228">
        <v>4</v>
      </c>
      <c r="D228">
        <v>4</v>
      </c>
    </row>
    <row r="229" spans="1:4" x14ac:dyDescent="0.2">
      <c r="A229">
        <v>2025</v>
      </c>
      <c r="B229">
        <v>10</v>
      </c>
      <c r="C229">
        <v>4</v>
      </c>
      <c r="D229">
        <v>5</v>
      </c>
    </row>
    <row r="230" spans="1:4" x14ac:dyDescent="0.2">
      <c r="A230">
        <v>2025</v>
      </c>
      <c r="B230">
        <v>10</v>
      </c>
      <c r="C230">
        <v>4</v>
      </c>
      <c r="D230">
        <v>6</v>
      </c>
    </row>
    <row r="231" spans="1:4" x14ac:dyDescent="0.2">
      <c r="A231">
        <v>2025</v>
      </c>
      <c r="B231">
        <v>10</v>
      </c>
      <c r="C231">
        <v>4</v>
      </c>
      <c r="D231">
        <v>7</v>
      </c>
    </row>
    <row r="232" spans="1:4" x14ac:dyDescent="0.2">
      <c r="A232">
        <v>2025</v>
      </c>
      <c r="B232">
        <v>10</v>
      </c>
      <c r="C232">
        <v>4</v>
      </c>
      <c r="D232">
        <v>8</v>
      </c>
    </row>
    <row r="233" spans="1:4" x14ac:dyDescent="0.2">
      <c r="A233">
        <v>2025</v>
      </c>
      <c r="B233">
        <v>10</v>
      </c>
      <c r="C233">
        <v>4</v>
      </c>
      <c r="D233">
        <v>9</v>
      </c>
    </row>
    <row r="234" spans="1:4" x14ac:dyDescent="0.2">
      <c r="A234">
        <v>2025</v>
      </c>
      <c r="B234">
        <v>10</v>
      </c>
      <c r="C234">
        <v>4</v>
      </c>
      <c r="D234">
        <v>10</v>
      </c>
    </row>
    <row r="235" spans="1:4" x14ac:dyDescent="0.2">
      <c r="A235">
        <v>2025</v>
      </c>
      <c r="B235">
        <v>10</v>
      </c>
      <c r="C235">
        <v>4</v>
      </c>
      <c r="D235">
        <v>11</v>
      </c>
    </row>
    <row r="236" spans="1:4" x14ac:dyDescent="0.2">
      <c r="A236">
        <v>2025</v>
      </c>
      <c r="B236">
        <v>10</v>
      </c>
      <c r="C236">
        <v>4</v>
      </c>
      <c r="D236">
        <v>12</v>
      </c>
    </row>
    <row r="237" spans="1:4" x14ac:dyDescent="0.2">
      <c r="A237">
        <v>2025</v>
      </c>
      <c r="B237">
        <v>10</v>
      </c>
      <c r="C237">
        <v>4</v>
      </c>
      <c r="D237">
        <v>13</v>
      </c>
    </row>
    <row r="238" spans="1:4" x14ac:dyDescent="0.2">
      <c r="A238">
        <v>2025</v>
      </c>
      <c r="B238">
        <v>10</v>
      </c>
      <c r="C238">
        <v>4</v>
      </c>
      <c r="D238">
        <v>14</v>
      </c>
    </row>
    <row r="239" spans="1:4" x14ac:dyDescent="0.2">
      <c r="A239">
        <v>2025</v>
      </c>
      <c r="B239">
        <v>10</v>
      </c>
      <c r="C239">
        <v>4</v>
      </c>
      <c r="D239">
        <v>15</v>
      </c>
    </row>
    <row r="240" spans="1:4" x14ac:dyDescent="0.2">
      <c r="A240">
        <v>2025</v>
      </c>
      <c r="B240">
        <v>10</v>
      </c>
      <c r="C240">
        <v>4</v>
      </c>
      <c r="D240">
        <v>16</v>
      </c>
    </row>
    <row r="241" spans="1:4" x14ac:dyDescent="0.2">
      <c r="A241">
        <v>2025</v>
      </c>
      <c r="B241">
        <v>10</v>
      </c>
      <c r="C241">
        <v>4</v>
      </c>
      <c r="D241">
        <v>17</v>
      </c>
    </row>
    <row r="242" spans="1:4" x14ac:dyDescent="0.2">
      <c r="A242">
        <v>2025</v>
      </c>
      <c r="B242">
        <v>10</v>
      </c>
      <c r="C242">
        <v>4</v>
      </c>
      <c r="D242">
        <v>18</v>
      </c>
    </row>
    <row r="243" spans="1:4" x14ac:dyDescent="0.2">
      <c r="A243">
        <v>2025</v>
      </c>
      <c r="B243">
        <v>10</v>
      </c>
      <c r="C243">
        <v>4</v>
      </c>
      <c r="D243">
        <v>19</v>
      </c>
    </row>
    <row r="244" spans="1:4" x14ac:dyDescent="0.2">
      <c r="A244">
        <v>2025</v>
      </c>
      <c r="B244">
        <v>10</v>
      </c>
      <c r="C244">
        <v>4</v>
      </c>
      <c r="D244">
        <v>20</v>
      </c>
    </row>
    <row r="245" spans="1:4" x14ac:dyDescent="0.2">
      <c r="A245">
        <v>2025</v>
      </c>
      <c r="B245">
        <v>10</v>
      </c>
      <c r="C245">
        <v>4</v>
      </c>
      <c r="D245">
        <v>21</v>
      </c>
    </row>
    <row r="246" spans="1:4" x14ac:dyDescent="0.2">
      <c r="A246">
        <v>2025</v>
      </c>
      <c r="B246">
        <v>10</v>
      </c>
      <c r="C246">
        <v>4</v>
      </c>
      <c r="D246">
        <v>22</v>
      </c>
    </row>
    <row r="247" spans="1:4" x14ac:dyDescent="0.2">
      <c r="A247">
        <v>2025</v>
      </c>
      <c r="B247">
        <v>10</v>
      </c>
      <c r="C247">
        <v>4</v>
      </c>
      <c r="D247">
        <v>23</v>
      </c>
    </row>
    <row r="248" spans="1:4" x14ac:dyDescent="0.2">
      <c r="A248">
        <v>2025</v>
      </c>
      <c r="B248">
        <v>10</v>
      </c>
      <c r="C248">
        <v>4</v>
      </c>
      <c r="D248">
        <v>24</v>
      </c>
    </row>
    <row r="249" spans="1:4" x14ac:dyDescent="0.2">
      <c r="A249">
        <v>2025</v>
      </c>
      <c r="B249">
        <v>10</v>
      </c>
      <c r="C249">
        <v>5</v>
      </c>
      <c r="D249">
        <v>1</v>
      </c>
    </row>
    <row r="250" spans="1:4" x14ac:dyDescent="0.2">
      <c r="A250">
        <v>2025</v>
      </c>
      <c r="B250">
        <v>10</v>
      </c>
      <c r="C250">
        <v>5</v>
      </c>
      <c r="D250">
        <v>2</v>
      </c>
    </row>
    <row r="251" spans="1:4" x14ac:dyDescent="0.2">
      <c r="A251">
        <v>2025</v>
      </c>
      <c r="B251">
        <v>10</v>
      </c>
      <c r="C251">
        <v>5</v>
      </c>
      <c r="D251">
        <v>3</v>
      </c>
    </row>
    <row r="252" spans="1:4" x14ac:dyDescent="0.2">
      <c r="A252">
        <v>2025</v>
      </c>
      <c r="B252">
        <v>10</v>
      </c>
      <c r="C252">
        <v>5</v>
      </c>
      <c r="D252">
        <v>4</v>
      </c>
    </row>
    <row r="253" spans="1:4" x14ac:dyDescent="0.2">
      <c r="A253">
        <v>2025</v>
      </c>
      <c r="B253">
        <v>10</v>
      </c>
      <c r="C253">
        <v>5</v>
      </c>
      <c r="D253">
        <v>5</v>
      </c>
    </row>
    <row r="254" spans="1:4" x14ac:dyDescent="0.2">
      <c r="A254">
        <v>2025</v>
      </c>
      <c r="B254">
        <v>10</v>
      </c>
      <c r="C254">
        <v>5</v>
      </c>
      <c r="D254">
        <v>6</v>
      </c>
    </row>
    <row r="255" spans="1:4" x14ac:dyDescent="0.2">
      <c r="A255">
        <v>2025</v>
      </c>
      <c r="B255">
        <v>10</v>
      </c>
      <c r="C255">
        <v>5</v>
      </c>
      <c r="D255">
        <v>7</v>
      </c>
    </row>
    <row r="256" spans="1:4" x14ac:dyDescent="0.2">
      <c r="A256">
        <v>2025</v>
      </c>
      <c r="B256">
        <v>10</v>
      </c>
      <c r="C256">
        <v>5</v>
      </c>
      <c r="D256">
        <v>8</v>
      </c>
    </row>
    <row r="257" spans="1:4" x14ac:dyDescent="0.2">
      <c r="A257">
        <v>2025</v>
      </c>
      <c r="B257">
        <v>10</v>
      </c>
      <c r="C257">
        <v>5</v>
      </c>
      <c r="D257">
        <v>9</v>
      </c>
    </row>
    <row r="258" spans="1:4" x14ac:dyDescent="0.2">
      <c r="A258">
        <v>2025</v>
      </c>
      <c r="B258">
        <v>10</v>
      </c>
      <c r="C258">
        <v>5</v>
      </c>
      <c r="D258">
        <v>10</v>
      </c>
    </row>
    <row r="259" spans="1:4" x14ac:dyDescent="0.2">
      <c r="A259">
        <v>2025</v>
      </c>
      <c r="B259">
        <v>10</v>
      </c>
      <c r="C259">
        <v>5</v>
      </c>
      <c r="D259">
        <v>11</v>
      </c>
    </row>
    <row r="260" spans="1:4" x14ac:dyDescent="0.2">
      <c r="A260">
        <v>2025</v>
      </c>
      <c r="B260">
        <v>10</v>
      </c>
      <c r="C260">
        <v>5</v>
      </c>
      <c r="D260">
        <v>12</v>
      </c>
    </row>
    <row r="261" spans="1:4" x14ac:dyDescent="0.2">
      <c r="A261">
        <v>2025</v>
      </c>
      <c r="B261">
        <v>10</v>
      </c>
      <c r="C261">
        <v>5</v>
      </c>
      <c r="D261">
        <v>13</v>
      </c>
    </row>
    <row r="262" spans="1:4" x14ac:dyDescent="0.2">
      <c r="A262">
        <v>2025</v>
      </c>
      <c r="B262">
        <v>10</v>
      </c>
      <c r="C262">
        <v>5</v>
      </c>
      <c r="D262">
        <v>14</v>
      </c>
    </row>
    <row r="263" spans="1:4" x14ac:dyDescent="0.2">
      <c r="A263">
        <v>2025</v>
      </c>
      <c r="B263">
        <v>10</v>
      </c>
      <c r="C263">
        <v>5</v>
      </c>
      <c r="D263">
        <v>15</v>
      </c>
    </row>
    <row r="264" spans="1:4" x14ac:dyDescent="0.2">
      <c r="A264">
        <v>2025</v>
      </c>
      <c r="B264">
        <v>10</v>
      </c>
      <c r="C264">
        <v>5</v>
      </c>
      <c r="D264">
        <v>16</v>
      </c>
    </row>
    <row r="265" spans="1:4" x14ac:dyDescent="0.2">
      <c r="A265">
        <v>2025</v>
      </c>
      <c r="B265">
        <v>10</v>
      </c>
      <c r="C265">
        <v>5</v>
      </c>
      <c r="D265">
        <v>17</v>
      </c>
    </row>
    <row r="266" spans="1:4" x14ac:dyDescent="0.2">
      <c r="A266">
        <v>2025</v>
      </c>
      <c r="B266">
        <v>10</v>
      </c>
      <c r="C266">
        <v>5</v>
      </c>
      <c r="D266">
        <v>18</v>
      </c>
    </row>
    <row r="267" spans="1:4" x14ac:dyDescent="0.2">
      <c r="A267">
        <v>2025</v>
      </c>
      <c r="B267">
        <v>10</v>
      </c>
      <c r="C267">
        <v>5</v>
      </c>
      <c r="D267">
        <v>19</v>
      </c>
    </row>
    <row r="268" spans="1:4" x14ac:dyDescent="0.2">
      <c r="A268">
        <v>2025</v>
      </c>
      <c r="B268">
        <v>10</v>
      </c>
      <c r="C268">
        <v>5</v>
      </c>
      <c r="D268">
        <v>20</v>
      </c>
    </row>
    <row r="269" spans="1:4" x14ac:dyDescent="0.2">
      <c r="A269">
        <v>2025</v>
      </c>
      <c r="B269">
        <v>10</v>
      </c>
      <c r="C269">
        <v>5</v>
      </c>
      <c r="D269">
        <v>21</v>
      </c>
    </row>
    <row r="270" spans="1:4" x14ac:dyDescent="0.2">
      <c r="A270">
        <v>2025</v>
      </c>
      <c r="B270">
        <v>10</v>
      </c>
      <c r="C270">
        <v>5</v>
      </c>
      <c r="D270">
        <v>22</v>
      </c>
    </row>
    <row r="271" spans="1:4" x14ac:dyDescent="0.2">
      <c r="A271">
        <v>2025</v>
      </c>
      <c r="B271">
        <v>10</v>
      </c>
      <c r="C271">
        <v>6</v>
      </c>
      <c r="D271">
        <v>9</v>
      </c>
    </row>
    <row r="272" spans="1:4" x14ac:dyDescent="0.2">
      <c r="A272">
        <v>2025</v>
      </c>
      <c r="B272">
        <v>10</v>
      </c>
      <c r="C272">
        <v>6</v>
      </c>
      <c r="D272">
        <v>10</v>
      </c>
    </row>
    <row r="273" spans="1:4" x14ac:dyDescent="0.2">
      <c r="A273">
        <v>2025</v>
      </c>
      <c r="B273">
        <v>10</v>
      </c>
      <c r="C273">
        <v>6</v>
      </c>
      <c r="D273">
        <v>11</v>
      </c>
    </row>
    <row r="274" spans="1:4" x14ac:dyDescent="0.2">
      <c r="A274">
        <v>2025</v>
      </c>
      <c r="B274">
        <v>10</v>
      </c>
      <c r="C274">
        <v>6</v>
      </c>
      <c r="D274">
        <v>12</v>
      </c>
    </row>
    <row r="275" spans="1:4" x14ac:dyDescent="0.2">
      <c r="A275">
        <v>2025</v>
      </c>
      <c r="B275">
        <v>10</v>
      </c>
      <c r="C275">
        <v>6</v>
      </c>
      <c r="D275">
        <v>13</v>
      </c>
    </row>
    <row r="276" spans="1:4" x14ac:dyDescent="0.2">
      <c r="A276">
        <v>2025</v>
      </c>
      <c r="B276">
        <v>10</v>
      </c>
      <c r="C276">
        <v>6</v>
      </c>
      <c r="D276">
        <v>14</v>
      </c>
    </row>
    <row r="277" spans="1:4" x14ac:dyDescent="0.2">
      <c r="A277">
        <v>2025</v>
      </c>
      <c r="B277">
        <v>10</v>
      </c>
      <c r="C277">
        <v>6</v>
      </c>
      <c r="D277">
        <v>15</v>
      </c>
    </row>
    <row r="278" spans="1:4" x14ac:dyDescent="0.2">
      <c r="A278">
        <v>2025</v>
      </c>
      <c r="B278">
        <v>10</v>
      </c>
      <c r="C278">
        <v>6</v>
      </c>
      <c r="D278">
        <v>16</v>
      </c>
    </row>
    <row r="279" spans="1:4" x14ac:dyDescent="0.2">
      <c r="A279">
        <v>2025</v>
      </c>
      <c r="B279">
        <v>10</v>
      </c>
      <c r="C279">
        <v>6</v>
      </c>
      <c r="D279">
        <v>17</v>
      </c>
    </row>
    <row r="280" spans="1:4" x14ac:dyDescent="0.2">
      <c r="A280">
        <v>2025</v>
      </c>
      <c r="B280">
        <v>10</v>
      </c>
      <c r="C280">
        <v>6</v>
      </c>
      <c r="D280">
        <v>18</v>
      </c>
    </row>
    <row r="281" spans="1:4" x14ac:dyDescent="0.2">
      <c r="A281">
        <v>2025</v>
      </c>
      <c r="B281">
        <v>10</v>
      </c>
      <c r="C281">
        <v>6</v>
      </c>
      <c r="D281">
        <v>19</v>
      </c>
    </row>
    <row r="282" spans="1:4" x14ac:dyDescent="0.2">
      <c r="A282">
        <v>2025</v>
      </c>
      <c r="B282">
        <v>10</v>
      </c>
      <c r="C282">
        <v>6</v>
      </c>
      <c r="D282">
        <v>20</v>
      </c>
    </row>
    <row r="283" spans="1:4" x14ac:dyDescent="0.2">
      <c r="A283">
        <v>2025</v>
      </c>
      <c r="B283">
        <v>10</v>
      </c>
      <c r="C283">
        <v>6</v>
      </c>
      <c r="D283">
        <v>21</v>
      </c>
    </row>
    <row r="284" spans="1:4" x14ac:dyDescent="0.2">
      <c r="A284">
        <v>2025</v>
      </c>
      <c r="B284">
        <v>10</v>
      </c>
      <c r="C284">
        <v>6</v>
      </c>
      <c r="D284">
        <v>22</v>
      </c>
    </row>
    <row r="285" spans="1:4" x14ac:dyDescent="0.2">
      <c r="A285">
        <v>2025</v>
      </c>
      <c r="B285">
        <v>10</v>
      </c>
      <c r="C285">
        <v>6</v>
      </c>
      <c r="D285">
        <v>23</v>
      </c>
    </row>
    <row r="286" spans="1:4" x14ac:dyDescent="0.2">
      <c r="A286">
        <v>2025</v>
      </c>
      <c r="B286">
        <v>10</v>
      </c>
      <c r="C286">
        <v>6</v>
      </c>
      <c r="D286">
        <v>24</v>
      </c>
    </row>
    <row r="287" spans="1:4" x14ac:dyDescent="0.2">
      <c r="A287">
        <v>2025</v>
      </c>
      <c r="B287">
        <v>10</v>
      </c>
      <c r="C287">
        <v>7</v>
      </c>
      <c r="D287">
        <v>1</v>
      </c>
    </row>
    <row r="288" spans="1:4" x14ac:dyDescent="0.2">
      <c r="A288">
        <v>2025</v>
      </c>
      <c r="B288">
        <v>10</v>
      </c>
      <c r="C288">
        <v>7</v>
      </c>
      <c r="D288">
        <v>2</v>
      </c>
    </row>
    <row r="289" spans="1:4" x14ac:dyDescent="0.2">
      <c r="A289">
        <v>2025</v>
      </c>
      <c r="B289">
        <v>10</v>
      </c>
      <c r="C289">
        <v>7</v>
      </c>
      <c r="D289">
        <v>3</v>
      </c>
    </row>
    <row r="290" spans="1:4" x14ac:dyDescent="0.2">
      <c r="A290">
        <v>2025</v>
      </c>
      <c r="B290">
        <v>10</v>
      </c>
      <c r="C290">
        <v>7</v>
      </c>
      <c r="D290">
        <v>4</v>
      </c>
    </row>
    <row r="291" spans="1:4" x14ac:dyDescent="0.2">
      <c r="A291">
        <v>2025</v>
      </c>
      <c r="B291">
        <v>10</v>
      </c>
      <c r="C291">
        <v>7</v>
      </c>
      <c r="D291">
        <v>5</v>
      </c>
    </row>
    <row r="292" spans="1:4" x14ac:dyDescent="0.2">
      <c r="A292">
        <v>2025</v>
      </c>
      <c r="B292">
        <v>10</v>
      </c>
      <c r="C292">
        <v>7</v>
      </c>
      <c r="D292">
        <v>6</v>
      </c>
    </row>
    <row r="293" spans="1:4" x14ac:dyDescent="0.2">
      <c r="A293">
        <v>2025</v>
      </c>
      <c r="B293">
        <v>10</v>
      </c>
      <c r="C293">
        <v>7</v>
      </c>
      <c r="D293">
        <v>9</v>
      </c>
    </row>
    <row r="294" spans="1:4" x14ac:dyDescent="0.2">
      <c r="A294">
        <v>2025</v>
      </c>
      <c r="B294">
        <v>10</v>
      </c>
      <c r="C294">
        <v>7</v>
      </c>
      <c r="D294">
        <v>10</v>
      </c>
    </row>
    <row r="295" spans="1:4" x14ac:dyDescent="0.2">
      <c r="A295">
        <v>2025</v>
      </c>
      <c r="B295">
        <v>10</v>
      </c>
      <c r="C295">
        <v>7</v>
      </c>
      <c r="D295">
        <v>11</v>
      </c>
    </row>
    <row r="296" spans="1:4" x14ac:dyDescent="0.2">
      <c r="A296">
        <v>2025</v>
      </c>
      <c r="B296">
        <v>10</v>
      </c>
      <c r="C296">
        <v>7</v>
      </c>
      <c r="D296">
        <v>12</v>
      </c>
    </row>
    <row r="297" spans="1:4" x14ac:dyDescent="0.2">
      <c r="A297">
        <v>2025</v>
      </c>
      <c r="B297">
        <v>10</v>
      </c>
      <c r="C297">
        <v>7</v>
      </c>
      <c r="D297">
        <v>13</v>
      </c>
    </row>
    <row r="298" spans="1:4" x14ac:dyDescent="0.2">
      <c r="A298">
        <v>2025</v>
      </c>
      <c r="B298">
        <v>10</v>
      </c>
      <c r="C298">
        <v>7</v>
      </c>
      <c r="D298">
        <v>14</v>
      </c>
    </row>
    <row r="299" spans="1:4" x14ac:dyDescent="0.2">
      <c r="A299">
        <v>2025</v>
      </c>
      <c r="B299">
        <v>10</v>
      </c>
      <c r="C299">
        <v>7</v>
      </c>
      <c r="D299">
        <v>15</v>
      </c>
    </row>
    <row r="300" spans="1:4" x14ac:dyDescent="0.2">
      <c r="A300">
        <v>2025</v>
      </c>
      <c r="B300">
        <v>10</v>
      </c>
      <c r="C300">
        <v>7</v>
      </c>
      <c r="D300">
        <v>16</v>
      </c>
    </row>
    <row r="301" spans="1:4" x14ac:dyDescent="0.2">
      <c r="A301">
        <v>2025</v>
      </c>
      <c r="B301">
        <v>10</v>
      </c>
      <c r="C301">
        <v>7</v>
      </c>
      <c r="D301">
        <v>17</v>
      </c>
    </row>
    <row r="302" spans="1:4" x14ac:dyDescent="0.2">
      <c r="A302">
        <v>2025</v>
      </c>
      <c r="B302">
        <v>10</v>
      </c>
      <c r="C302">
        <v>7</v>
      </c>
      <c r="D302">
        <v>18</v>
      </c>
    </row>
    <row r="303" spans="1:4" x14ac:dyDescent="0.2">
      <c r="A303">
        <v>2025</v>
      </c>
      <c r="B303">
        <v>10</v>
      </c>
      <c r="C303">
        <v>7</v>
      </c>
      <c r="D303">
        <v>19</v>
      </c>
    </row>
    <row r="304" spans="1:4" x14ac:dyDescent="0.2">
      <c r="A304">
        <v>2025</v>
      </c>
      <c r="B304">
        <v>10</v>
      </c>
      <c r="C304">
        <v>7</v>
      </c>
      <c r="D304">
        <v>20</v>
      </c>
    </row>
    <row r="305" spans="1:4" x14ac:dyDescent="0.2">
      <c r="A305">
        <v>2025</v>
      </c>
      <c r="B305">
        <v>10</v>
      </c>
      <c r="C305">
        <v>7</v>
      </c>
      <c r="D305">
        <v>21</v>
      </c>
    </row>
    <row r="306" spans="1:4" x14ac:dyDescent="0.2">
      <c r="A306">
        <v>2025</v>
      </c>
      <c r="B306">
        <v>10</v>
      </c>
      <c r="C306">
        <v>7</v>
      </c>
      <c r="D306">
        <v>22</v>
      </c>
    </row>
    <row r="307" spans="1:4" x14ac:dyDescent="0.2">
      <c r="A307">
        <v>2025</v>
      </c>
      <c r="B307">
        <v>10</v>
      </c>
      <c r="C307">
        <v>8</v>
      </c>
      <c r="D307">
        <v>9</v>
      </c>
    </row>
    <row r="308" spans="1:4" x14ac:dyDescent="0.2">
      <c r="A308">
        <v>2025</v>
      </c>
      <c r="B308">
        <v>10</v>
      </c>
      <c r="C308">
        <v>8</v>
      </c>
      <c r="D308">
        <v>10</v>
      </c>
    </row>
    <row r="309" spans="1:4" x14ac:dyDescent="0.2">
      <c r="A309">
        <v>2025</v>
      </c>
      <c r="B309">
        <v>10</v>
      </c>
      <c r="C309">
        <v>8</v>
      </c>
      <c r="D309">
        <v>11</v>
      </c>
    </row>
    <row r="310" spans="1:4" x14ac:dyDescent="0.2">
      <c r="A310">
        <v>2025</v>
      </c>
      <c r="B310">
        <v>10</v>
      </c>
      <c r="C310">
        <v>8</v>
      </c>
      <c r="D310">
        <v>12</v>
      </c>
    </row>
    <row r="311" spans="1:4" x14ac:dyDescent="0.2">
      <c r="A311">
        <v>2025</v>
      </c>
      <c r="B311">
        <v>10</v>
      </c>
      <c r="C311">
        <v>8</v>
      </c>
      <c r="D311">
        <v>13</v>
      </c>
    </row>
    <row r="312" spans="1:4" x14ac:dyDescent="0.2">
      <c r="A312">
        <v>2025</v>
      </c>
      <c r="B312">
        <v>10</v>
      </c>
      <c r="C312">
        <v>8</v>
      </c>
      <c r="D312">
        <v>14</v>
      </c>
    </row>
    <row r="313" spans="1:4" x14ac:dyDescent="0.2">
      <c r="A313">
        <v>2025</v>
      </c>
      <c r="B313">
        <v>10</v>
      </c>
      <c r="C313">
        <v>8</v>
      </c>
      <c r="D313">
        <v>15</v>
      </c>
    </row>
    <row r="314" spans="1:4" x14ac:dyDescent="0.2">
      <c r="A314">
        <v>2025</v>
      </c>
      <c r="B314">
        <v>10</v>
      </c>
      <c r="C314">
        <v>8</v>
      </c>
      <c r="D314">
        <v>16</v>
      </c>
    </row>
    <row r="315" spans="1:4" x14ac:dyDescent="0.2">
      <c r="A315">
        <v>2025</v>
      </c>
      <c r="B315">
        <v>10</v>
      </c>
      <c r="C315">
        <v>8</v>
      </c>
      <c r="D315">
        <v>17</v>
      </c>
    </row>
    <row r="316" spans="1:4" x14ac:dyDescent="0.2">
      <c r="A316">
        <v>2025</v>
      </c>
      <c r="B316">
        <v>10</v>
      </c>
      <c r="C316">
        <v>8</v>
      </c>
      <c r="D316">
        <v>18</v>
      </c>
    </row>
    <row r="317" spans="1:4" x14ac:dyDescent="0.2">
      <c r="A317">
        <v>2025</v>
      </c>
      <c r="B317">
        <v>10</v>
      </c>
      <c r="C317">
        <v>8</v>
      </c>
      <c r="D317">
        <v>19</v>
      </c>
    </row>
    <row r="318" spans="1:4" x14ac:dyDescent="0.2">
      <c r="A318">
        <v>2025</v>
      </c>
      <c r="B318">
        <v>10</v>
      </c>
      <c r="C318">
        <v>8</v>
      </c>
      <c r="D318">
        <v>20</v>
      </c>
    </row>
    <row r="319" spans="1:4" x14ac:dyDescent="0.2">
      <c r="A319">
        <v>2025</v>
      </c>
      <c r="B319">
        <v>10</v>
      </c>
      <c r="C319">
        <v>8</v>
      </c>
      <c r="D319">
        <v>21</v>
      </c>
    </row>
    <row r="320" spans="1:4" x14ac:dyDescent="0.2">
      <c r="A320">
        <v>2025</v>
      </c>
      <c r="B320">
        <v>10</v>
      </c>
      <c r="C320">
        <v>8</v>
      </c>
      <c r="D320">
        <v>22</v>
      </c>
    </row>
    <row r="321" spans="1:4" x14ac:dyDescent="0.2">
      <c r="A321">
        <v>2025</v>
      </c>
      <c r="B321">
        <v>10</v>
      </c>
      <c r="C321">
        <v>9</v>
      </c>
      <c r="D321">
        <v>9</v>
      </c>
    </row>
    <row r="322" spans="1:4" x14ac:dyDescent="0.2">
      <c r="A322">
        <v>2025</v>
      </c>
      <c r="B322">
        <v>10</v>
      </c>
      <c r="C322">
        <v>9</v>
      </c>
      <c r="D322">
        <v>10</v>
      </c>
    </row>
    <row r="323" spans="1:4" x14ac:dyDescent="0.2">
      <c r="A323">
        <v>2025</v>
      </c>
      <c r="B323">
        <v>10</v>
      </c>
      <c r="C323">
        <v>9</v>
      </c>
      <c r="D323">
        <v>11</v>
      </c>
    </row>
    <row r="324" spans="1:4" x14ac:dyDescent="0.2">
      <c r="A324">
        <v>2025</v>
      </c>
      <c r="B324">
        <v>10</v>
      </c>
      <c r="C324">
        <v>9</v>
      </c>
      <c r="D324">
        <v>12</v>
      </c>
    </row>
    <row r="325" spans="1:4" x14ac:dyDescent="0.2">
      <c r="A325">
        <v>2025</v>
      </c>
      <c r="B325">
        <v>10</v>
      </c>
      <c r="C325">
        <v>9</v>
      </c>
      <c r="D325">
        <v>13</v>
      </c>
    </row>
    <row r="326" spans="1:4" x14ac:dyDescent="0.2">
      <c r="A326">
        <v>2025</v>
      </c>
      <c r="B326">
        <v>10</v>
      </c>
      <c r="C326">
        <v>9</v>
      </c>
      <c r="D326">
        <v>14</v>
      </c>
    </row>
    <row r="327" spans="1:4" x14ac:dyDescent="0.2">
      <c r="A327">
        <v>2025</v>
      </c>
      <c r="B327">
        <v>10</v>
      </c>
      <c r="C327">
        <v>9</v>
      </c>
      <c r="D327">
        <v>15</v>
      </c>
    </row>
    <row r="328" spans="1:4" x14ac:dyDescent="0.2">
      <c r="A328">
        <v>2025</v>
      </c>
      <c r="B328">
        <v>10</v>
      </c>
      <c r="C328">
        <v>9</v>
      </c>
      <c r="D328">
        <v>16</v>
      </c>
    </row>
    <row r="329" spans="1:4" x14ac:dyDescent="0.2">
      <c r="A329">
        <v>2025</v>
      </c>
      <c r="B329">
        <v>10</v>
      </c>
      <c r="C329">
        <v>9</v>
      </c>
      <c r="D329">
        <v>17</v>
      </c>
    </row>
    <row r="330" spans="1:4" x14ac:dyDescent="0.2">
      <c r="A330">
        <v>2025</v>
      </c>
      <c r="B330">
        <v>10</v>
      </c>
      <c r="C330">
        <v>9</v>
      </c>
      <c r="D330">
        <v>18</v>
      </c>
    </row>
    <row r="331" spans="1:4" x14ac:dyDescent="0.2">
      <c r="A331">
        <v>2025</v>
      </c>
      <c r="B331">
        <v>10</v>
      </c>
      <c r="C331">
        <v>9</v>
      </c>
      <c r="D331">
        <v>19</v>
      </c>
    </row>
    <row r="332" spans="1:4" x14ac:dyDescent="0.2">
      <c r="A332">
        <v>2025</v>
      </c>
      <c r="B332">
        <v>10</v>
      </c>
      <c r="C332">
        <v>9</v>
      </c>
      <c r="D332">
        <v>20</v>
      </c>
    </row>
    <row r="333" spans="1:4" x14ac:dyDescent="0.2">
      <c r="A333">
        <v>2025</v>
      </c>
      <c r="B333">
        <v>10</v>
      </c>
      <c r="C333">
        <v>9</v>
      </c>
      <c r="D333">
        <v>21</v>
      </c>
    </row>
    <row r="334" spans="1:4" x14ac:dyDescent="0.2">
      <c r="A334">
        <v>2025</v>
      </c>
      <c r="B334">
        <v>10</v>
      </c>
      <c r="C334">
        <v>9</v>
      </c>
      <c r="D334">
        <v>22</v>
      </c>
    </row>
    <row r="335" spans="1:4" x14ac:dyDescent="0.2">
      <c r="A335">
        <v>2025</v>
      </c>
      <c r="B335">
        <v>10</v>
      </c>
      <c r="C335">
        <v>10</v>
      </c>
      <c r="D335">
        <v>9</v>
      </c>
    </row>
    <row r="336" spans="1:4" x14ac:dyDescent="0.2">
      <c r="A336">
        <v>2025</v>
      </c>
      <c r="B336">
        <v>10</v>
      </c>
      <c r="C336">
        <v>10</v>
      </c>
      <c r="D336">
        <v>10</v>
      </c>
    </row>
    <row r="337" spans="1:4" x14ac:dyDescent="0.2">
      <c r="A337">
        <v>2025</v>
      </c>
      <c r="B337">
        <v>10</v>
      </c>
      <c r="C337">
        <v>10</v>
      </c>
      <c r="D337">
        <v>11</v>
      </c>
    </row>
    <row r="338" spans="1:4" x14ac:dyDescent="0.2">
      <c r="A338">
        <v>2025</v>
      </c>
      <c r="B338">
        <v>10</v>
      </c>
      <c r="C338">
        <v>10</v>
      </c>
      <c r="D338">
        <v>12</v>
      </c>
    </row>
    <row r="339" spans="1:4" x14ac:dyDescent="0.2">
      <c r="A339">
        <v>2025</v>
      </c>
      <c r="B339">
        <v>10</v>
      </c>
      <c r="C339">
        <v>10</v>
      </c>
      <c r="D339">
        <v>13</v>
      </c>
    </row>
    <row r="340" spans="1:4" x14ac:dyDescent="0.2">
      <c r="A340">
        <v>2025</v>
      </c>
      <c r="B340">
        <v>10</v>
      </c>
      <c r="C340">
        <v>10</v>
      </c>
      <c r="D340">
        <v>14</v>
      </c>
    </row>
    <row r="341" spans="1:4" x14ac:dyDescent="0.2">
      <c r="A341">
        <v>2025</v>
      </c>
      <c r="B341">
        <v>10</v>
      </c>
      <c r="C341">
        <v>10</v>
      </c>
      <c r="D341">
        <v>15</v>
      </c>
    </row>
    <row r="342" spans="1:4" x14ac:dyDescent="0.2">
      <c r="A342">
        <v>2025</v>
      </c>
      <c r="B342">
        <v>10</v>
      </c>
      <c r="C342">
        <v>10</v>
      </c>
      <c r="D342">
        <v>16</v>
      </c>
    </row>
    <row r="343" spans="1:4" x14ac:dyDescent="0.2">
      <c r="A343">
        <v>2025</v>
      </c>
      <c r="B343">
        <v>10</v>
      </c>
      <c r="C343">
        <v>10</v>
      </c>
      <c r="D343">
        <v>17</v>
      </c>
    </row>
    <row r="344" spans="1:4" x14ac:dyDescent="0.2">
      <c r="A344">
        <v>2025</v>
      </c>
      <c r="B344">
        <v>10</v>
      </c>
      <c r="C344">
        <v>10</v>
      </c>
      <c r="D344">
        <v>18</v>
      </c>
    </row>
    <row r="345" spans="1:4" x14ac:dyDescent="0.2">
      <c r="A345">
        <v>2025</v>
      </c>
      <c r="B345">
        <v>10</v>
      </c>
      <c r="C345">
        <v>10</v>
      </c>
      <c r="D345">
        <v>19</v>
      </c>
    </row>
    <row r="346" spans="1:4" x14ac:dyDescent="0.2">
      <c r="A346">
        <v>2025</v>
      </c>
      <c r="B346">
        <v>10</v>
      </c>
      <c r="C346">
        <v>10</v>
      </c>
      <c r="D346">
        <v>20</v>
      </c>
    </row>
    <row r="347" spans="1:4" x14ac:dyDescent="0.2">
      <c r="A347">
        <v>2025</v>
      </c>
      <c r="B347">
        <v>10</v>
      </c>
      <c r="C347">
        <v>10</v>
      </c>
      <c r="D347">
        <v>21</v>
      </c>
    </row>
    <row r="348" spans="1:4" x14ac:dyDescent="0.2">
      <c r="A348">
        <v>2025</v>
      </c>
      <c r="B348">
        <v>10</v>
      </c>
      <c r="C348">
        <v>10</v>
      </c>
      <c r="D348">
        <v>22</v>
      </c>
    </row>
    <row r="349" spans="1:4" x14ac:dyDescent="0.2">
      <c r="A349">
        <v>2025</v>
      </c>
      <c r="B349">
        <v>10</v>
      </c>
      <c r="C349">
        <v>11</v>
      </c>
      <c r="D349">
        <v>9</v>
      </c>
    </row>
    <row r="350" spans="1:4" x14ac:dyDescent="0.2">
      <c r="A350">
        <v>2025</v>
      </c>
      <c r="B350">
        <v>10</v>
      </c>
      <c r="C350">
        <v>11</v>
      </c>
      <c r="D350">
        <v>10</v>
      </c>
    </row>
    <row r="351" spans="1:4" x14ac:dyDescent="0.2">
      <c r="A351">
        <v>2025</v>
      </c>
      <c r="B351">
        <v>10</v>
      </c>
      <c r="C351">
        <v>11</v>
      </c>
      <c r="D351">
        <v>11</v>
      </c>
    </row>
    <row r="352" spans="1:4" x14ac:dyDescent="0.2">
      <c r="A352">
        <v>2025</v>
      </c>
      <c r="B352">
        <v>10</v>
      </c>
      <c r="C352">
        <v>11</v>
      </c>
      <c r="D352">
        <v>12</v>
      </c>
    </row>
    <row r="353" spans="1:4" x14ac:dyDescent="0.2">
      <c r="A353">
        <v>2025</v>
      </c>
      <c r="B353">
        <v>10</v>
      </c>
      <c r="C353">
        <v>11</v>
      </c>
      <c r="D353">
        <v>13</v>
      </c>
    </row>
    <row r="354" spans="1:4" x14ac:dyDescent="0.2">
      <c r="A354">
        <v>2025</v>
      </c>
      <c r="B354">
        <v>10</v>
      </c>
      <c r="C354">
        <v>11</v>
      </c>
      <c r="D354">
        <v>14</v>
      </c>
    </row>
    <row r="355" spans="1:4" x14ac:dyDescent="0.2">
      <c r="A355">
        <v>2025</v>
      </c>
      <c r="B355">
        <v>10</v>
      </c>
      <c r="C355">
        <v>11</v>
      </c>
      <c r="D355">
        <v>15</v>
      </c>
    </row>
    <row r="356" spans="1:4" x14ac:dyDescent="0.2">
      <c r="A356">
        <v>2025</v>
      </c>
      <c r="B356">
        <v>10</v>
      </c>
      <c r="C356">
        <v>11</v>
      </c>
      <c r="D356">
        <v>16</v>
      </c>
    </row>
    <row r="357" spans="1:4" x14ac:dyDescent="0.2">
      <c r="A357">
        <v>2025</v>
      </c>
      <c r="B357">
        <v>10</v>
      </c>
      <c r="C357">
        <v>11</v>
      </c>
      <c r="D357">
        <v>17</v>
      </c>
    </row>
    <row r="358" spans="1:4" x14ac:dyDescent="0.2">
      <c r="A358">
        <v>2025</v>
      </c>
      <c r="B358">
        <v>10</v>
      </c>
      <c r="C358">
        <v>11</v>
      </c>
      <c r="D358">
        <v>18</v>
      </c>
    </row>
    <row r="359" spans="1:4" x14ac:dyDescent="0.2">
      <c r="A359">
        <v>2025</v>
      </c>
      <c r="B359">
        <v>10</v>
      </c>
      <c r="C359">
        <v>11</v>
      </c>
      <c r="D359">
        <v>19</v>
      </c>
    </row>
    <row r="360" spans="1:4" x14ac:dyDescent="0.2">
      <c r="A360">
        <v>2025</v>
      </c>
      <c r="B360">
        <v>10</v>
      </c>
      <c r="C360">
        <v>11</v>
      </c>
      <c r="D360">
        <v>20</v>
      </c>
    </row>
    <row r="361" spans="1:4" x14ac:dyDescent="0.2">
      <c r="A361">
        <v>2025</v>
      </c>
      <c r="B361">
        <v>10</v>
      </c>
      <c r="C361">
        <v>11</v>
      </c>
      <c r="D361">
        <v>21</v>
      </c>
    </row>
    <row r="362" spans="1:4" x14ac:dyDescent="0.2">
      <c r="A362">
        <v>2025</v>
      </c>
      <c r="B362">
        <v>10</v>
      </c>
      <c r="C362">
        <v>11</v>
      </c>
      <c r="D362">
        <v>22</v>
      </c>
    </row>
    <row r="363" spans="1:4" x14ac:dyDescent="0.2">
      <c r="A363">
        <v>2025</v>
      </c>
      <c r="B363">
        <v>10</v>
      </c>
      <c r="C363">
        <v>12</v>
      </c>
      <c r="D363">
        <v>9</v>
      </c>
    </row>
    <row r="364" spans="1:4" x14ac:dyDescent="0.2">
      <c r="A364">
        <v>2025</v>
      </c>
      <c r="B364">
        <v>10</v>
      </c>
      <c r="C364">
        <v>12</v>
      </c>
      <c r="D364">
        <v>10</v>
      </c>
    </row>
    <row r="365" spans="1:4" x14ac:dyDescent="0.2">
      <c r="A365">
        <v>2025</v>
      </c>
      <c r="B365">
        <v>10</v>
      </c>
      <c r="C365">
        <v>12</v>
      </c>
      <c r="D365">
        <v>11</v>
      </c>
    </row>
    <row r="366" spans="1:4" x14ac:dyDescent="0.2">
      <c r="A366">
        <v>2025</v>
      </c>
      <c r="B366">
        <v>10</v>
      </c>
      <c r="C366">
        <v>12</v>
      </c>
      <c r="D366">
        <v>12</v>
      </c>
    </row>
    <row r="367" spans="1:4" x14ac:dyDescent="0.2">
      <c r="A367">
        <v>2025</v>
      </c>
      <c r="B367">
        <v>10</v>
      </c>
      <c r="C367">
        <v>12</v>
      </c>
      <c r="D367">
        <v>13</v>
      </c>
    </row>
    <row r="368" spans="1:4" x14ac:dyDescent="0.2">
      <c r="A368">
        <v>2025</v>
      </c>
      <c r="B368">
        <v>10</v>
      </c>
      <c r="C368">
        <v>12</v>
      </c>
      <c r="D368">
        <v>14</v>
      </c>
    </row>
    <row r="369" spans="1:4" x14ac:dyDescent="0.2">
      <c r="A369">
        <v>2025</v>
      </c>
      <c r="B369">
        <v>10</v>
      </c>
      <c r="C369">
        <v>12</v>
      </c>
      <c r="D369">
        <v>15</v>
      </c>
    </row>
    <row r="370" spans="1:4" x14ac:dyDescent="0.2">
      <c r="A370">
        <v>2025</v>
      </c>
      <c r="B370">
        <v>10</v>
      </c>
      <c r="C370">
        <v>12</v>
      </c>
      <c r="D370">
        <v>16</v>
      </c>
    </row>
    <row r="371" spans="1:4" x14ac:dyDescent="0.2">
      <c r="A371">
        <v>2025</v>
      </c>
      <c r="B371">
        <v>10</v>
      </c>
      <c r="C371">
        <v>12</v>
      </c>
      <c r="D371">
        <v>17</v>
      </c>
    </row>
    <row r="372" spans="1:4" x14ac:dyDescent="0.2">
      <c r="A372">
        <v>2025</v>
      </c>
      <c r="B372">
        <v>10</v>
      </c>
      <c r="C372">
        <v>12</v>
      </c>
      <c r="D372">
        <v>18</v>
      </c>
    </row>
    <row r="373" spans="1:4" x14ac:dyDescent="0.2">
      <c r="A373">
        <v>2025</v>
      </c>
      <c r="B373">
        <v>10</v>
      </c>
      <c r="C373">
        <v>12</v>
      </c>
      <c r="D373">
        <v>19</v>
      </c>
    </row>
    <row r="374" spans="1:4" x14ac:dyDescent="0.2">
      <c r="A374">
        <v>2025</v>
      </c>
      <c r="B374">
        <v>10</v>
      </c>
      <c r="C374">
        <v>12</v>
      </c>
      <c r="D374">
        <v>20</v>
      </c>
    </row>
    <row r="375" spans="1:4" x14ac:dyDescent="0.2">
      <c r="A375">
        <v>2025</v>
      </c>
      <c r="B375">
        <v>10</v>
      </c>
      <c r="C375">
        <v>12</v>
      </c>
      <c r="D375">
        <v>21</v>
      </c>
    </row>
    <row r="376" spans="1:4" x14ac:dyDescent="0.2">
      <c r="A376">
        <v>2025</v>
      </c>
      <c r="B376">
        <v>10</v>
      </c>
      <c r="C376">
        <v>12</v>
      </c>
      <c r="D376">
        <v>22</v>
      </c>
    </row>
    <row r="377" spans="1:4" x14ac:dyDescent="0.2">
      <c r="A377">
        <v>2025</v>
      </c>
      <c r="B377">
        <v>10</v>
      </c>
      <c r="C377">
        <v>13</v>
      </c>
      <c r="D377">
        <v>9</v>
      </c>
    </row>
    <row r="378" spans="1:4" x14ac:dyDescent="0.2">
      <c r="A378">
        <v>2025</v>
      </c>
      <c r="B378">
        <v>10</v>
      </c>
      <c r="C378">
        <v>13</v>
      </c>
      <c r="D378">
        <v>10</v>
      </c>
    </row>
    <row r="379" spans="1:4" x14ac:dyDescent="0.2">
      <c r="A379">
        <v>2025</v>
      </c>
      <c r="B379">
        <v>10</v>
      </c>
      <c r="C379">
        <v>13</v>
      </c>
      <c r="D379">
        <v>11</v>
      </c>
    </row>
    <row r="380" spans="1:4" x14ac:dyDescent="0.2">
      <c r="A380">
        <v>2025</v>
      </c>
      <c r="B380">
        <v>10</v>
      </c>
      <c r="C380">
        <v>13</v>
      </c>
      <c r="D380">
        <v>12</v>
      </c>
    </row>
    <row r="381" spans="1:4" x14ac:dyDescent="0.2">
      <c r="A381">
        <v>2025</v>
      </c>
      <c r="B381">
        <v>10</v>
      </c>
      <c r="C381">
        <v>13</v>
      </c>
      <c r="D381">
        <v>13</v>
      </c>
    </row>
    <row r="382" spans="1:4" x14ac:dyDescent="0.2">
      <c r="A382">
        <v>2025</v>
      </c>
      <c r="B382">
        <v>10</v>
      </c>
      <c r="C382">
        <v>13</v>
      </c>
      <c r="D382">
        <v>14</v>
      </c>
    </row>
    <row r="383" spans="1:4" x14ac:dyDescent="0.2">
      <c r="A383">
        <v>2025</v>
      </c>
      <c r="B383">
        <v>10</v>
      </c>
      <c r="C383">
        <v>13</v>
      </c>
      <c r="D383">
        <v>15</v>
      </c>
    </row>
    <row r="384" spans="1:4" x14ac:dyDescent="0.2">
      <c r="A384">
        <v>2025</v>
      </c>
      <c r="B384">
        <v>10</v>
      </c>
      <c r="C384">
        <v>13</v>
      </c>
      <c r="D384">
        <v>16</v>
      </c>
    </row>
    <row r="385" spans="1:4" x14ac:dyDescent="0.2">
      <c r="A385">
        <v>2025</v>
      </c>
      <c r="B385">
        <v>10</v>
      </c>
      <c r="C385">
        <v>13</v>
      </c>
      <c r="D385">
        <v>17</v>
      </c>
    </row>
    <row r="386" spans="1:4" x14ac:dyDescent="0.2">
      <c r="A386">
        <v>2025</v>
      </c>
      <c r="B386">
        <v>10</v>
      </c>
      <c r="C386">
        <v>13</v>
      </c>
      <c r="D386">
        <v>18</v>
      </c>
    </row>
    <row r="387" spans="1:4" x14ac:dyDescent="0.2">
      <c r="A387">
        <v>2025</v>
      </c>
      <c r="B387">
        <v>10</v>
      </c>
      <c r="C387">
        <v>13</v>
      </c>
      <c r="D387">
        <v>19</v>
      </c>
    </row>
    <row r="388" spans="1:4" x14ac:dyDescent="0.2">
      <c r="A388">
        <v>2025</v>
      </c>
      <c r="B388">
        <v>10</v>
      </c>
      <c r="C388">
        <v>13</v>
      </c>
      <c r="D388">
        <v>20</v>
      </c>
    </row>
    <row r="389" spans="1:4" x14ac:dyDescent="0.2">
      <c r="A389">
        <v>2025</v>
      </c>
      <c r="B389">
        <v>10</v>
      </c>
      <c r="C389">
        <v>13</v>
      </c>
      <c r="D389">
        <v>21</v>
      </c>
    </row>
    <row r="390" spans="1:4" x14ac:dyDescent="0.2">
      <c r="A390">
        <v>2025</v>
      </c>
      <c r="B390">
        <v>10</v>
      </c>
      <c r="C390">
        <v>13</v>
      </c>
      <c r="D390">
        <v>22</v>
      </c>
    </row>
    <row r="391" spans="1:4" x14ac:dyDescent="0.2">
      <c r="A391">
        <v>2025</v>
      </c>
      <c r="B391">
        <v>10</v>
      </c>
      <c r="C391">
        <v>14</v>
      </c>
      <c r="D391">
        <v>9</v>
      </c>
    </row>
    <row r="392" spans="1:4" x14ac:dyDescent="0.2">
      <c r="A392">
        <v>2025</v>
      </c>
      <c r="B392">
        <v>10</v>
      </c>
      <c r="C392">
        <v>14</v>
      </c>
      <c r="D392">
        <v>10</v>
      </c>
    </row>
    <row r="393" spans="1:4" x14ac:dyDescent="0.2">
      <c r="A393">
        <v>2025</v>
      </c>
      <c r="B393">
        <v>10</v>
      </c>
      <c r="C393">
        <v>14</v>
      </c>
      <c r="D393">
        <v>11</v>
      </c>
    </row>
    <row r="394" spans="1:4" x14ac:dyDescent="0.2">
      <c r="A394">
        <v>2025</v>
      </c>
      <c r="B394">
        <v>10</v>
      </c>
      <c r="C394">
        <v>14</v>
      </c>
      <c r="D394">
        <v>12</v>
      </c>
    </row>
    <row r="395" spans="1:4" x14ac:dyDescent="0.2">
      <c r="A395">
        <v>2025</v>
      </c>
      <c r="B395">
        <v>10</v>
      </c>
      <c r="C395">
        <v>14</v>
      </c>
      <c r="D395">
        <v>13</v>
      </c>
    </row>
    <row r="396" spans="1:4" x14ac:dyDescent="0.2">
      <c r="A396">
        <v>2025</v>
      </c>
      <c r="B396">
        <v>10</v>
      </c>
      <c r="C396">
        <v>14</v>
      </c>
      <c r="D396">
        <v>14</v>
      </c>
    </row>
    <row r="397" spans="1:4" x14ac:dyDescent="0.2">
      <c r="A397">
        <v>2025</v>
      </c>
      <c r="B397">
        <v>10</v>
      </c>
      <c r="C397">
        <v>14</v>
      </c>
      <c r="D397">
        <v>15</v>
      </c>
    </row>
    <row r="398" spans="1:4" x14ac:dyDescent="0.2">
      <c r="A398">
        <v>2025</v>
      </c>
      <c r="B398">
        <v>10</v>
      </c>
      <c r="C398">
        <v>14</v>
      </c>
      <c r="D398">
        <v>16</v>
      </c>
    </row>
    <row r="399" spans="1:4" x14ac:dyDescent="0.2">
      <c r="A399">
        <v>2025</v>
      </c>
      <c r="B399">
        <v>10</v>
      </c>
      <c r="C399">
        <v>14</v>
      </c>
      <c r="D399">
        <v>17</v>
      </c>
    </row>
    <row r="400" spans="1:4" x14ac:dyDescent="0.2">
      <c r="A400">
        <v>2025</v>
      </c>
      <c r="B400">
        <v>10</v>
      </c>
      <c r="C400">
        <v>14</v>
      </c>
      <c r="D400">
        <v>18</v>
      </c>
    </row>
    <row r="401" spans="1:4" x14ac:dyDescent="0.2">
      <c r="A401">
        <v>2025</v>
      </c>
      <c r="B401">
        <v>10</v>
      </c>
      <c r="C401">
        <v>14</v>
      </c>
      <c r="D401">
        <v>19</v>
      </c>
    </row>
    <row r="402" spans="1:4" x14ac:dyDescent="0.2">
      <c r="A402">
        <v>2025</v>
      </c>
      <c r="B402">
        <v>10</v>
      </c>
      <c r="C402">
        <v>14</v>
      </c>
      <c r="D402">
        <v>20</v>
      </c>
    </row>
    <row r="403" spans="1:4" x14ac:dyDescent="0.2">
      <c r="A403">
        <v>2025</v>
      </c>
      <c r="B403">
        <v>10</v>
      </c>
      <c r="C403">
        <v>14</v>
      </c>
      <c r="D403">
        <v>21</v>
      </c>
    </row>
    <row r="404" spans="1:4" x14ac:dyDescent="0.2">
      <c r="A404">
        <v>2025</v>
      </c>
      <c r="B404">
        <v>10</v>
      </c>
      <c r="C404">
        <v>14</v>
      </c>
      <c r="D404">
        <v>22</v>
      </c>
    </row>
    <row r="405" spans="1:4" x14ac:dyDescent="0.2">
      <c r="A405">
        <v>2025</v>
      </c>
      <c r="B405">
        <v>10</v>
      </c>
      <c r="C405">
        <v>15</v>
      </c>
      <c r="D405">
        <v>9</v>
      </c>
    </row>
    <row r="406" spans="1:4" x14ac:dyDescent="0.2">
      <c r="A406">
        <v>2025</v>
      </c>
      <c r="B406">
        <v>10</v>
      </c>
      <c r="C406">
        <v>15</v>
      </c>
      <c r="D406">
        <v>10</v>
      </c>
    </row>
    <row r="407" spans="1:4" x14ac:dyDescent="0.2">
      <c r="A407">
        <v>2025</v>
      </c>
      <c r="B407">
        <v>10</v>
      </c>
      <c r="C407">
        <v>15</v>
      </c>
      <c r="D407">
        <v>11</v>
      </c>
    </row>
    <row r="408" spans="1:4" x14ac:dyDescent="0.2">
      <c r="A408">
        <v>2025</v>
      </c>
      <c r="B408">
        <v>10</v>
      </c>
      <c r="C408">
        <v>15</v>
      </c>
      <c r="D408">
        <v>12</v>
      </c>
    </row>
    <row r="409" spans="1:4" x14ac:dyDescent="0.2">
      <c r="A409">
        <v>2025</v>
      </c>
      <c r="B409">
        <v>10</v>
      </c>
      <c r="C409">
        <v>15</v>
      </c>
      <c r="D409">
        <v>13</v>
      </c>
    </row>
    <row r="410" spans="1:4" x14ac:dyDescent="0.2">
      <c r="A410">
        <v>2025</v>
      </c>
      <c r="B410">
        <v>10</v>
      </c>
      <c r="C410">
        <v>15</v>
      </c>
      <c r="D410">
        <v>14</v>
      </c>
    </row>
    <row r="411" spans="1:4" x14ac:dyDescent="0.2">
      <c r="A411">
        <v>2025</v>
      </c>
      <c r="B411">
        <v>10</v>
      </c>
      <c r="C411">
        <v>15</v>
      </c>
      <c r="D411">
        <v>15</v>
      </c>
    </row>
    <row r="412" spans="1:4" x14ac:dyDescent="0.2">
      <c r="A412">
        <v>2025</v>
      </c>
      <c r="B412">
        <v>10</v>
      </c>
      <c r="C412">
        <v>15</v>
      </c>
      <c r="D412">
        <v>16</v>
      </c>
    </row>
    <row r="413" spans="1:4" x14ac:dyDescent="0.2">
      <c r="A413">
        <v>2025</v>
      </c>
      <c r="B413">
        <v>10</v>
      </c>
      <c r="C413">
        <v>15</v>
      </c>
      <c r="D413">
        <v>17</v>
      </c>
    </row>
    <row r="414" spans="1:4" x14ac:dyDescent="0.2">
      <c r="A414">
        <v>2025</v>
      </c>
      <c r="B414">
        <v>10</v>
      </c>
      <c r="C414">
        <v>15</v>
      </c>
      <c r="D414">
        <v>18</v>
      </c>
    </row>
    <row r="415" spans="1:4" x14ac:dyDescent="0.2">
      <c r="A415">
        <v>2025</v>
      </c>
      <c r="B415">
        <v>10</v>
      </c>
      <c r="C415">
        <v>15</v>
      </c>
      <c r="D415">
        <v>19</v>
      </c>
    </row>
    <row r="416" spans="1:4" x14ac:dyDescent="0.2">
      <c r="A416">
        <v>2025</v>
      </c>
      <c r="B416">
        <v>10</v>
      </c>
      <c r="C416">
        <v>15</v>
      </c>
      <c r="D416">
        <v>20</v>
      </c>
    </row>
    <row r="417" spans="1:4" x14ac:dyDescent="0.2">
      <c r="A417">
        <v>2025</v>
      </c>
      <c r="B417">
        <v>10</v>
      </c>
      <c r="C417">
        <v>15</v>
      </c>
      <c r="D417">
        <v>21</v>
      </c>
    </row>
    <row r="418" spans="1:4" x14ac:dyDescent="0.2">
      <c r="A418">
        <v>2025</v>
      </c>
      <c r="B418">
        <v>10</v>
      </c>
      <c r="C418">
        <v>15</v>
      </c>
      <c r="D418">
        <v>22</v>
      </c>
    </row>
    <row r="419" spans="1:4" x14ac:dyDescent="0.2">
      <c r="A419">
        <v>2025</v>
      </c>
      <c r="B419">
        <v>10</v>
      </c>
      <c r="C419">
        <v>16</v>
      </c>
      <c r="D419">
        <v>9</v>
      </c>
    </row>
    <row r="420" spans="1:4" x14ac:dyDescent="0.2">
      <c r="A420">
        <v>2025</v>
      </c>
      <c r="B420">
        <v>10</v>
      </c>
      <c r="C420">
        <v>16</v>
      </c>
      <c r="D420">
        <v>10</v>
      </c>
    </row>
    <row r="421" spans="1:4" x14ac:dyDescent="0.2">
      <c r="A421">
        <v>2025</v>
      </c>
      <c r="B421">
        <v>10</v>
      </c>
      <c r="C421">
        <v>16</v>
      </c>
      <c r="D421">
        <v>11</v>
      </c>
    </row>
    <row r="422" spans="1:4" x14ac:dyDescent="0.2">
      <c r="A422">
        <v>2025</v>
      </c>
      <c r="B422">
        <v>10</v>
      </c>
      <c r="C422">
        <v>16</v>
      </c>
      <c r="D422">
        <v>12</v>
      </c>
    </row>
    <row r="423" spans="1:4" x14ac:dyDescent="0.2">
      <c r="A423">
        <v>2025</v>
      </c>
      <c r="B423">
        <v>10</v>
      </c>
      <c r="C423">
        <v>16</v>
      </c>
      <c r="D423">
        <v>13</v>
      </c>
    </row>
    <row r="424" spans="1:4" x14ac:dyDescent="0.2">
      <c r="A424">
        <v>2025</v>
      </c>
      <c r="B424">
        <v>10</v>
      </c>
      <c r="C424">
        <v>16</v>
      </c>
      <c r="D424">
        <v>14</v>
      </c>
    </row>
    <row r="425" spans="1:4" x14ac:dyDescent="0.2">
      <c r="A425">
        <v>2025</v>
      </c>
      <c r="B425">
        <v>10</v>
      </c>
      <c r="C425">
        <v>16</v>
      </c>
      <c r="D425">
        <v>15</v>
      </c>
    </row>
    <row r="426" spans="1:4" x14ac:dyDescent="0.2">
      <c r="A426">
        <v>2025</v>
      </c>
      <c r="B426">
        <v>10</v>
      </c>
      <c r="C426">
        <v>16</v>
      </c>
      <c r="D426">
        <v>16</v>
      </c>
    </row>
    <row r="427" spans="1:4" x14ac:dyDescent="0.2">
      <c r="A427">
        <v>2025</v>
      </c>
      <c r="B427">
        <v>10</v>
      </c>
      <c r="C427">
        <v>16</v>
      </c>
      <c r="D427">
        <v>17</v>
      </c>
    </row>
    <row r="428" spans="1:4" x14ac:dyDescent="0.2">
      <c r="A428">
        <v>2025</v>
      </c>
      <c r="B428">
        <v>10</v>
      </c>
      <c r="C428">
        <v>16</v>
      </c>
      <c r="D428">
        <v>18</v>
      </c>
    </row>
    <row r="429" spans="1:4" x14ac:dyDescent="0.2">
      <c r="A429">
        <v>2025</v>
      </c>
      <c r="B429">
        <v>10</v>
      </c>
      <c r="C429">
        <v>16</v>
      </c>
      <c r="D429">
        <v>19</v>
      </c>
    </row>
    <row r="430" spans="1:4" x14ac:dyDescent="0.2">
      <c r="A430">
        <v>2025</v>
      </c>
      <c r="B430">
        <v>10</v>
      </c>
      <c r="C430">
        <v>16</v>
      </c>
      <c r="D430">
        <v>20</v>
      </c>
    </row>
    <row r="431" spans="1:4" x14ac:dyDescent="0.2">
      <c r="A431">
        <v>2025</v>
      </c>
      <c r="B431">
        <v>10</v>
      </c>
      <c r="C431">
        <v>16</v>
      </c>
      <c r="D431">
        <v>21</v>
      </c>
    </row>
    <row r="432" spans="1:4" x14ac:dyDescent="0.2">
      <c r="A432">
        <v>2025</v>
      </c>
      <c r="B432">
        <v>10</v>
      </c>
      <c r="C432">
        <v>16</v>
      </c>
      <c r="D432">
        <v>22</v>
      </c>
    </row>
    <row r="433" spans="1:4" x14ac:dyDescent="0.2">
      <c r="A433">
        <v>2025</v>
      </c>
      <c r="B433">
        <v>10</v>
      </c>
      <c r="C433">
        <v>16</v>
      </c>
      <c r="D433">
        <v>23</v>
      </c>
    </row>
    <row r="434" spans="1:4" x14ac:dyDescent="0.2">
      <c r="A434">
        <v>2025</v>
      </c>
      <c r="B434">
        <v>10</v>
      </c>
      <c r="C434">
        <v>16</v>
      </c>
      <c r="D434">
        <v>24</v>
      </c>
    </row>
    <row r="435" spans="1:4" x14ac:dyDescent="0.2">
      <c r="A435">
        <v>2025</v>
      </c>
      <c r="B435">
        <v>10</v>
      </c>
      <c r="C435">
        <v>17</v>
      </c>
      <c r="D435">
        <v>9</v>
      </c>
    </row>
    <row r="436" spans="1:4" x14ac:dyDescent="0.2">
      <c r="A436">
        <v>2025</v>
      </c>
      <c r="B436">
        <v>10</v>
      </c>
      <c r="C436">
        <v>17</v>
      </c>
      <c r="D436">
        <v>10</v>
      </c>
    </row>
    <row r="437" spans="1:4" x14ac:dyDescent="0.2">
      <c r="A437">
        <v>2025</v>
      </c>
      <c r="B437">
        <v>10</v>
      </c>
      <c r="C437">
        <v>17</v>
      </c>
      <c r="D437">
        <v>11</v>
      </c>
    </row>
    <row r="438" spans="1:4" x14ac:dyDescent="0.2">
      <c r="A438">
        <v>2025</v>
      </c>
      <c r="B438">
        <v>10</v>
      </c>
      <c r="C438">
        <v>17</v>
      </c>
      <c r="D438">
        <v>12</v>
      </c>
    </row>
    <row r="439" spans="1:4" x14ac:dyDescent="0.2">
      <c r="A439">
        <v>2025</v>
      </c>
      <c r="B439">
        <v>10</v>
      </c>
      <c r="C439">
        <v>17</v>
      </c>
      <c r="D439">
        <v>13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まとめ</vt:lpstr>
      <vt:lpstr>Sheet1</vt:lpstr>
      <vt:lpstr>施工前</vt:lpstr>
      <vt:lpstr>施工後（調光後）</vt:lpstr>
      <vt:lpstr>元データ</vt:lpstr>
      <vt:lpstr>Sheet1!Print_Area</vt:lpstr>
      <vt:lpstr>まとめ!Print_Area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　遠藤照明</dc:creator>
  <cp:lastModifiedBy>渡部 令馬</cp:lastModifiedBy>
  <cp:lastPrinted>2024-04-01T07:31:09Z</cp:lastPrinted>
  <dcterms:created xsi:type="dcterms:W3CDTF">2003-12-04T00:16:06Z</dcterms:created>
  <dcterms:modified xsi:type="dcterms:W3CDTF">2025-11-12T09:39:25Z</dcterms:modified>
</cp:coreProperties>
</file>